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e184495d141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BLEVG㈱" sheetId="1" r:id="Re345512a0cc448e1"/>
  </x:sheets>
</x:workbook>
</file>

<file path=xl/sharedStrings.xml><?xml version="1.0" encoding="utf-8"?>
<x:sst xmlns:x="http://schemas.openxmlformats.org/spreadsheetml/2006/main">
  <x:si>
    <x:t xml:space="preserve">所属</x:t>
  </x:si>
  <x:si>
    <x:t xml:space="preserve">本部</x:t>
  </x:si>
  <x:si>
    <x:t xml:space="preserve">野毛</x:t>
  </x:si>
  <x:si>
    <x:t xml:space="preserve">幹部</x:t>
  </x:si>
  <x:si>
    <x:t xml:space="preserve">全社</x:t>
  </x:si>
  <x:si>
    <x:t xml:space="preserve">社員コード</x:t>
  </x:si>
  <x:si>
    <x:t xml:space="preserve">＜総計＞</x:t>
  </x:si>
  <x:si>
    <x:t xml:space="preserve">＜総合計＞</x:t>
  </x:si>
  <x:si>
    <x:t xml:space="preserve">氏名</x:t>
  </x:si>
  <x:si>
    <x:t xml:space="preserve">城　菜月</x:t>
  </x:si>
  <x:si>
    <x:t xml:space="preserve">井上　美咲</x:t>
  </x:si>
  <x:si>
    <x:t xml:space="preserve">岸　桜来</x:t>
  </x:si>
  <x:si>
    <x:t xml:space="preserve">篠原　美楽</x:t>
  </x:si>
  <x:si>
    <x:t xml:space="preserve">木下　航平</x:t>
  </x:si>
  <x:si>
    <x:t xml:space="preserve">松本　るぴな</x:t>
  </x:si>
  <x:si>
    <x:t xml:space="preserve">田村　香織</x:t>
  </x:si>
  <x:si>
    <x:t xml:space="preserve">寺嶌　桃子</x:t>
  </x:si>
  <x:si>
    <x:t xml:space="preserve">君島　杏樹</x:t>
  </x:si>
  <x:si>
    <x:t xml:space="preserve">志賀　昴</x:t>
  </x:si>
  <x:si>
    <x:t xml:space="preserve">近藤　南</x:t>
  </x:si>
  <x:si>
    <x:t xml:space="preserve">佐久間　美涼</x:t>
  </x:si>
  <x:si>
    <x:t xml:space="preserve">小林　美穂</x:t>
  </x:si>
  <x:si>
    <x:t xml:space="preserve">漆原　健太</x:t>
  </x:si>
  <x:si>
    <x:t xml:space="preserve">田部　里桜菜</x:t>
  </x:si>
  <x:si>
    <x:t xml:space="preserve">溝上　太康</x:t>
  </x:si>
  <x:si>
    <x:t xml:space="preserve">齊藤　稜久</x:t>
  </x:si>
  <x:si>
    <x:t xml:space="preserve">曽崎　大輔</x:t>
  </x:si>
  <x:si>
    <x:t xml:space="preserve">森　愛礼奈</x:t>
  </x:si>
  <x:si>
    <x:t xml:space="preserve">加藤　愛菜</x:t>
  </x:si>
  <x:si>
    <x:t xml:space="preserve">安齋　莉奈</x:t>
  </x:si>
  <x:si>
    <x:t xml:space="preserve">工藤　紗玖良</x:t>
  </x:si>
  <x:si>
    <x:t xml:space="preserve">髙木　サンドラ</x:t>
  </x:si>
  <x:si>
    <x:t xml:space="preserve">寺石　彩乃</x:t>
  </x:si>
  <x:si>
    <x:t xml:space="preserve">デネシ　クマル</x:t>
  </x:si>
  <x:si>
    <x:r>
      <x:rPr>
        <x:sz val="11"/>
        <x:color theme="1"/>
        <x:rFont val="Calibri"/>
        <x:family val="2"/>
      </x:rPr>
      <x:t xml:space="preserve">25</x:t>
    </x:r>
    <x:r>
      <x:rPr>
        <x:sz val="11"/>
        <x:color theme="1"/>
        <x:rFont val="Noto Sans CJK SC"/>
        <x:family val="2"/>
      </x:rPr>
      <x:t xml:space="preserve">人</x:t>
    </x:r>
  </x:si>
  <x:si>
    <x:t xml:space="preserve">有泉　春花</x:t>
  </x:si>
  <x:si>
    <x:t xml:space="preserve">松村　絢菜</x:t>
  </x:si>
  <x:si>
    <x:t xml:space="preserve">三浦　美帆</x:t>
  </x:si>
  <x:si>
    <x:t xml:space="preserve">川島　胡桃</x:t>
  </x:si>
  <x:si>
    <x:r>
      <x:rPr>
        <x:b/>
        <x:sz val="11"/>
        <x:rFont val="Cambria"/>
      </x:rPr>
      <x:t xml:space="preserve">4</x:t>
    </x:r>
    <x:r>
      <x:rPr>
        <x:b/>
        <x:sz val="11"/>
        <x:rFont val="Noto Sans CJK SC"/>
        <x:family val="2"/>
      </x:rPr>
      <x:t xml:space="preserve">人</x:t>
    </x:r>
  </x:si>
  <x:si>
    <x:t xml:space="preserve">青山　佳史</x:t>
  </x:si>
  <x:si>
    <x:t xml:space="preserve">中村　鏡太郎</x:t>
  </x:si>
  <x:si>
    <x:t xml:space="preserve">木月　徳子</x:t>
  </x:si>
  <x:si>
    <x:t xml:space="preserve">小林　彗太</x:t>
  </x:si>
  <x:si>
    <x:t xml:space="preserve">佐藤　雅信</x:t>
  </x:si>
  <x:si>
    <x:r>
      <x:rPr>
        <x:b/>
        <x:sz val="11"/>
        <x:rFont val="Cambria"/>
      </x:rPr>
      <x:t xml:space="preserve">5</x:t>
    </x:r>
    <x:r>
      <x:rPr>
        <x:b/>
        <x:sz val="11"/>
        <x:rFont val="Noto Sans CJK SC"/>
        <x:family val="2"/>
      </x:rPr>
      <x:t xml:space="preserve">人</x:t>
    </x:r>
  </x:si>
  <x:si>
    <x:r>
      <x:rPr>
        <x:b/>
        <x:sz val="11"/>
        <x:rFont val="Cambria"/>
      </x:rPr>
      <x:t xml:space="preserve">34</x:t>
    </x:r>
    <x:r>
      <x:rPr>
        <x:b/>
        <x:sz val="11"/>
        <x:rFont val="Noto Sans CJK SC"/>
        <x:family val="2"/>
      </x:rPr>
      <x:t xml:space="preserve">人</x:t>
    </x:r>
  </x:si>
  <x:si>
    <x:t xml:space="preserve">基本給</x:t>
  </x:si>
  <x:si>
    <x:t xml:space="preserve">役員報酬</x:t>
  </x:si>
  <x:si>
    <x:t xml:space="preserve">職能手当</x:t>
  </x:si>
  <x:si>
    <x:t xml:space="preserve">残業手当</x:t>
  </x:si>
  <x:si>
    <x:t xml:space="preserve">休日手当</x:t>
  </x:si>
  <x:si>
    <x:t xml:space="preserve">業務手当</x:t>
  </x:si>
  <x:si>
    <x:t xml:space="preserve">非税通勤費</x:t>
  </x:si>
  <x:si>
    <x:t xml:space="preserve">普通残業</x:t>
  </x:si>
  <x:si>
    <x:t xml:space="preserve">深夜手当</x:t>
  </x:si>
  <x:si>
    <x:t xml:space="preserve">欠勤控除</x:t>
  </x:si>
  <x:si>
    <x:t xml:space="preserve">遅早控除</x:t>
  </x:si>
  <x:si>
    <x:t xml:space="preserve">課税支給計</x:t>
  </x:si>
  <x:si>
    <x:t xml:space="preserve">非税支給計</x:t>
  </x:si>
  <x:si>
    <x:t xml:space="preserve">支給合計</x:t>
  </x:si>
  <x:si>
    <x:t xml:space="preserve">健康保険</x:t>
  </x:si>
  <x:si>
    <x:t xml:space="preserve">子育て支援金</x:t>
  </x:si>
  <x:si>
    <x:t xml:space="preserve">介護保険</x:t>
  </x:si>
  <x:si>
    <x:t xml:space="preserve">厚生年金</x:t>
  </x:si>
  <x:si>
    <x:t xml:space="preserve">雇用保険</x:t>
  </x:si>
  <x:si>
    <x:t xml:space="preserve">社保合計</x:t>
  </x:si>
  <x:si>
    <x:t xml:space="preserve">課税対象額</x:t>
  </x:si>
  <x:si>
    <x:t xml:space="preserve">所得税</x:t>
  </x:si>
  <x:si>
    <x:t xml:space="preserve">住民税</x:t>
  </x:si>
  <x:si>
    <x:t xml:space="preserve">年末調整</x:t>
  </x:si>
  <x:si>
    <x:t xml:space="preserve">その他控除</x:t>
  </x:si>
  <x:si>
    <x:t xml:space="preserve">立替経費</x:t>
  </x:si>
  <x:si>
    <x:t xml:space="preserve">控除合計</x:t>
  </x:si>
  <x:si>
    <x:t xml:space="preserve">その他合計</x:t>
  </x:si>
  <x:si>
    <x:t xml:space="preserve">差引支給額</x:t>
  </x:si>
  <x:si>
    <x:t xml:space="preserve">振込合計</x:t>
  </x:si>
  <x:si>
    <x:t xml:space="preserve">現金支給額</x:t>
  </x:si>
  <x:si>
    <x:t xml:space="preserve">出勤日数</x:t>
  </x:si>
  <x:si>
    <x:t xml:space="preserve">欠勤日数</x:t>
  </x:si>
  <x:si>
    <x:t xml:space="preserve">有休日数</x:t>
  </x:si>
  <x:si>
    <x:t xml:space="preserve">特休日数</x:t>
  </x:si>
  <x:si>
    <x:t xml:space="preserve">休出日数</x:t>
  </x:si>
  <x:si>
    <x:t xml:space="preserve">出勤時間</x:t>
  </x:si>
  <x:si>
    <x:t xml:space="preserve">遅早時間</x:t>
  </x:si>
  <x:si>
    <x:t xml:space="preserve">普通残業時間</x:t>
  </x:si>
  <x:si>
    <x:t xml:space="preserve">深夜時間</x:t>
  </x:si>
  <x:si>
    <x:t xml:space="preserve">内他店時間１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</x:si>
</x:sst>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1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name val="Cambria"/>
    </x:font>
    <x:font>
      <x:b/>
      <x:sz val="12"/>
      <x:name val="Noto Sans CJK SC"/>
    </x:font>
    <x:font>
      <x:sz val="11"/>
      <x:color theme="1"/>
      <x:name val="Noto Sans CJK SC"/>
    </x:font>
    <x:font>
      <x:b/>
      <x:sz val="11"/>
      <x:name val="Noto Sans CJK SC"/>
    </x:font>
    <x:font>
      <x:sz val="11"/>
      <x:color theme="1"/>
      <x:name val="Noto Sans CJK SC"/>
    </x:font>
    <x:font>
      <x:b/>
      <x:sz val="11"/>
      <x:name val="Noto Sans CJK SC"/>
    </x:font>
    <x:font>
      <x:b/>
      <x:sz val="11"/>
      <x:name val="Cambria"/>
    </x:font>
  </x:fonts>
  <x:fills count="2">
    <x:fill>
      <x:patternFill patternType="none"/>
    </x:fill>
    <x:fill>
      <x:patternFill patternType="gray125"/>
    </x:fill>
  </x:fills>
  <x:borders count="1"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0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1">
      <x:alignment horizontal="general" vertical="bottom" wrapText="0"/>
    </x:xf>
    <x:xf numFmtId="164" fontId="6" fillId="0" borderId="0" xfId="0" applyFont="1" applyBorder="0" applyAlignment="1">
      <x:alignment horizontal="general" vertical="bottom" wrapText="0"/>
    </x:xf>
    <x:xf numFmtId="164" fontId="7" fillId="0" borderId="0" xfId="0" applyFont="1" applyBorder="0" applyAlignment="1">
      <x:alignment horizontal="general" vertical="bottom" wrapText="0"/>
    </x:xf>
    <x:xf numFmtId="164" fontId="8" fillId="0" borderId="0" xfId="0" applyFont="1" applyBorder="0" applyAlignment="0">
      <x:alignment horizontal="general" vertical="bottom" wrapText="0"/>
    </x:xf>
    <x:xf numFmtId="164" fontId="9" fillId="0" borderId="0" xfId="0" applyFont="1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10" fillId="0" borderId="0" xfId="0" applyFont="1" applyBorder="0" applyAlignment="1">
      <x:alignment horizontal="general" vertical="bottom" wrapText="0"/>
    </x:xf>
    <x:xf numFmtId="164" fontId="8" fillId="0" borderId="0" xfId="0" applyFont="1" applyBorder="0" applyAlignment="1">
      <x:alignment horizontal="general" vertical="bottom" wrapText="0"/>
    </x:xf>
    <x:xf numFmtId="164" fontId="10" fillId="0" borderId="0" xfId="0" applyFont="1" applyBorder="0" applyAlignment="0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af81aca2b41be" /><Relationship Type="http://schemas.openxmlformats.org/officeDocument/2006/relationships/theme" Target="/xl/theme/theme1.xml" Id="Rba554089d0bb44d1" /><Relationship Type="http://schemas.openxmlformats.org/officeDocument/2006/relationships/sharedStrings" Target="/xl/sharedStrings.xml" Id="Rd53abf3da3fb4780" /><Relationship Type="http://schemas.openxmlformats.org/officeDocument/2006/relationships/worksheet" Target="/xl/worksheets/sheet1.xml" Id="Re345512a0cc448e1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8.75" hidden="0" customHeight="1">
      <x:c r="A1" s="1" t="str">
        <x:v>FUBLEV Group㈱　R８.８月支給　</x:v>
      </x:c>
    </x:row>
    <x:row r="2" ht="15" hidden="0" customHeight="1">
      <x:c r="A2" s="2" t="s">
        <x:v>0</x:v>
      </x:c>
      <x:c r="C2" s="3" t="s">
        <x:v>1</x:v>
      </x:c>
      <x:c r="AC2" s="3" t="s">
        <x:v>2</x:v>
      </x:c>
      <x:c r="AF2" s="3"/>
      <x:c r="AH2" s="4" t="s">
        <x:v>3</x:v>
      </x:c>
      <x:c r="AN2" s="5" t="s">
        <x:v>4</x:v>
      </x:c>
    </x:row>
    <x:row r="3" ht="15" hidden="0" customHeight="1">
      <x:c r="A3" s="2" t="s">
        <x:v>5</x:v>
      </x:c>
      <x:c r="C3" s="6" t="n">
        <x:v>1053</x:v>
      </x:c>
      <x:c r="D3" s="6" t="n">
        <x:v>1065</x:v>
      </x:c>
      <x:c r="E3" s="6" t="n">
        <x:v>1068</x:v>
      </x:c>
      <x:c r="F3" s="6" t="n">
        <x:v>1069</x:v>
      </x:c>
      <x:c r="G3" s="6" t="n">
        <x:v>1070</x:v>
      </x:c>
      <x:c r="H3" s="6" t="n">
        <x:v>1076</x:v>
      </x:c>
      <x:c r="I3" s="6" t="n">
        <x:v>1077</x:v>
      </x:c>
      <x:c r="J3" s="6" t="n">
        <x:v>1080</x:v>
      </x:c>
      <x:c r="K3" s="6" t="n">
        <x:v>1090</x:v>
      </x:c>
      <x:c r="L3" s="6" t="n">
        <x:v>1091</x:v>
      </x:c>
      <x:c r="M3" s="6" t="n">
        <x:v>3011</x:v>
      </x:c>
      <x:c r="N3" s="6" t="n">
        <x:v>3029</x:v>
      </x:c>
      <x:c r="O3" s="6" t="n">
        <x:v>4112</x:v>
      </x:c>
      <x:c r="P3" s="6" t="n">
        <x:v>4118</x:v>
      </x:c>
      <x:c r="Q3" s="6" t="n">
        <x:v>4120</x:v>
      </x:c>
      <x:c r="R3" s="6" t="n">
        <x:v>4121</x:v>
      </x:c>
      <x:c r="S3" s="6" t="n">
        <x:v>4123</x:v>
      </x:c>
      <x:c r="T3" s="6" t="n">
        <x:v>4124</x:v>
      </x:c>
      <x:c r="U3" s="6" t="n">
        <x:v>4125</x:v>
      </x:c>
      <x:c r="V3" s="6" t="n">
        <x:v>4126</x:v>
      </x:c>
      <x:c r="W3" s="6" t="n">
        <x:v>8174</x:v>
      </x:c>
      <x:c r="X3" s="6" t="n">
        <x:v>8175</x:v>
      </x:c>
      <x:c r="Y3" s="6" t="n">
        <x:v>8176</x:v>
      </x:c>
      <x:c r="Z3" s="6" t="n">
        <x:v>8177</x:v>
      </x:c>
      <x:c r="AA3" s="6" t="n">
        <x:v>17025</x:v>
      </x:c>
      <x:c r="AB3" s="2" t="s">
        <x:v>6</x:v>
      </x:c>
      <x:c r="AC3" s="6" t="n">
        <x:v>7014</x:v>
      </x:c>
      <x:c r="AD3" s="6" t="n">
        <x:v>7015</x:v>
      </x:c>
      <x:c r="AE3" s="6" t="n">
        <x:v>7016</x:v>
      </x:c>
      <x:c r="AF3" s="6" t="n">
        <x:v>8173</x:v>
      </x:c>
      <x:c r="AG3" s="2" t="s">
        <x:v>6</x:v>
      </x:c>
      <x:c r="AH3" s="6" t="n">
        <x:v>2</x:v>
      </x:c>
      <x:c r="AI3" s="6" t="n">
        <x:v>3</x:v>
      </x:c>
      <x:c r="AJ3" s="6" t="n">
        <x:v>17</x:v>
      </x:c>
      <x:c r="AK3" s="2" t="n">
        <x:v>64</x:v>
      </x:c>
      <x:c r="AL3" t="n">
        <x:v>83</x:v>
      </x:c>
      <x:c r="AM3" s="4" t="s">
        <x:v>6</x:v>
      </x:c>
      <x:c r="AN3" s="4" t="s">
        <x:v>7</x:v>
      </x:c>
    </x:row>
    <x:row r="4" ht="16.5" hidden="0" customHeight="1">
      <x:c r="A4" s="2" t="s">
        <x:v>8</x:v>
      </x:c>
      <x:c r="C4" s="2" t="s">
        <x:v>9</x:v>
      </x:c>
      <x:c r="D4" s="2" t="s">
        <x:v>10</x:v>
      </x:c>
      <x:c r="E4" s="2" t="s">
        <x:v>11</x:v>
      </x:c>
      <x:c r="F4" s="2" t="s">
        <x:v>12</x:v>
      </x:c>
      <x:c r="G4" s="2" t="s">
        <x:v>13</x:v>
      </x:c>
      <x:c r="H4" s="2" t="s">
        <x:v>14</x:v>
      </x:c>
      <x:c r="I4" s="2" t="s">
        <x:v>15</x:v>
      </x:c>
      <x:c r="J4" s="2" t="s">
        <x:v>16</x:v>
      </x:c>
      <x:c r="K4" s="2" t="s">
        <x:v>17</x:v>
      </x:c>
      <x:c r="L4" s="2" t="s">
        <x:v>18</x:v>
      </x:c>
      <x:c r="M4" s="2" t="s">
        <x:v>19</x:v>
      </x:c>
      <x:c r="N4" s="2" t="s">
        <x:v>20</x:v>
      </x:c>
      <x:c r="O4" s="2" t="s">
        <x:v>21</x:v>
      </x:c>
      <x:c r="P4" s="2" t="s">
        <x:v>22</x:v>
      </x:c>
      <x:c r="Q4" s="2" t="s">
        <x:v>23</x:v>
      </x:c>
      <x:c r="R4" s="2" t="s">
        <x:v>24</x:v>
      </x:c>
      <x:c r="S4" s="2" t="s">
        <x:v>25</x:v>
      </x:c>
      <x:c r="T4" s="2" t="s">
        <x:v>26</x:v>
      </x:c>
      <x:c r="U4" s="2" t="s">
        <x:v>27</x:v>
      </x:c>
      <x:c r="V4" s="2" t="s">
        <x:v>28</x:v>
      </x:c>
      <x:c r="W4" s="2" t="s">
        <x:v>29</x:v>
      </x:c>
      <x:c r="X4" s="2" t="s">
        <x:v>30</x:v>
      </x:c>
      <x:c r="Y4" s="2" t="s">
        <x:v>31</x:v>
      </x:c>
      <x:c r="Z4" s="2" t="s">
        <x:v>32</x:v>
      </x:c>
      <x:c r="AA4" s="2" t="s">
        <x:v>33</x:v>
      </x:c>
      <x:c r="AB4" s="6" t="s">
        <x:v>34</x:v>
      </x:c>
      <x:c r="AC4" s="2" t="s">
        <x:v>35</x:v>
      </x:c>
      <x:c r="AD4" s="2" t="s">
        <x:v>36</x:v>
      </x:c>
      <x:c r="AE4" s="2" t="s">
        <x:v>37</x:v>
      </x:c>
      <x:c r="AF4" s="2" t="s">
        <x:v>38</x:v>
      </x:c>
      <x:c r="AG4" s="7" t="s">
        <x:v>39</x:v>
      </x:c>
      <x:c r="AH4" s="2" t="s">
        <x:v>40</x:v>
      </x:c>
      <x:c r="AI4" s="2" t="s">
        <x:v>41</x:v>
      </x:c>
      <x:c r="AJ4" s="2" t="s">
        <x:v>42</x:v>
      </x:c>
      <x:c r="AK4" s="8" t="s">
        <x:v>43</x:v>
      </x:c>
      <x:c r="AL4" s="4" t="s">
        <x:v>44</x:v>
      </x:c>
      <x:c r="AM4" s="9" t="s">
        <x:v>45</x:v>
      </x:c>
      <x:c r="AN4" s="9" t="s">
        <x:v>46</x:v>
      </x:c>
    </x:row>
    <x:row r="5" ht="15" hidden="0" customHeight="1">
      <x:c r="A5" s="2" t="s">
        <x:v>47</x:v>
      </x:c>
      <x:c r="C5" s="6" t="n">
        <x:v>15925</x:v>
      </x:c>
      <x:c r="D5" s="6" t="n">
        <x:v>59412</x:v>
      </x:c>
      <x:c r="E5" s="6" t="n">
        <x:v>39812</x:v>
      </x:c>
      <x:c r="F5" s="6" t="n">
        <x:v>42568</x:v>
      </x:c>
      <x:c r="G5" s="6" t="n">
        <x:v>28175</x:v>
      </x:c>
      <x:c r="H5" s="6" t="n">
        <x:v>90650</x:v>
      </x:c>
      <x:c r="I5" s="6" t="n">
        <x:v>30318</x:v>
      </x:c>
      <x:c r="J5" s="6" t="n">
        <x:v>21233</x:v>
      </x:c>
      <x:c r="K5" s="6" t="n">
        <x:v>47979</x:v>
      </x:c>
      <x:c r="L5" s="6" t="n">
        <x:v>49204</x:v>
      </x:c>
      <x:c r="M5" s="6" t="n">
        <x:v>102655</x:v>
      </x:c>
      <x:c r="N5" s="6" t="n">
        <x:v>7350</x:v>
      </x:c>
      <x:c r="O5" s="6" t="n">
        <x:v>26480</x:v>
      </x:c>
      <x:c r="P5" s="6" t="n">
        <x:v>18027</x:v>
      </x:c>
      <x:c r="Q5" s="6" t="n">
        <x:v>6839</x:v>
      </x:c>
      <x:c r="R5" s="6" t="n">
        <x:v>37423</x:v>
      </x:c>
      <x:c r="S5" s="6" t="n">
        <x:v>28828</x:v>
      </x:c>
      <x:c r="T5" s="6" t="n">
        <x:v>52511</x:v>
      </x:c>
      <x:c r="U5" s="6" t="n">
        <x:v>17395</x:v>
      </x:c>
      <x:c r="V5" s="6" t="n">
        <x:v>9452</x:v>
      </x:c>
      <x:c r="W5" s="6" t="n">
        <x:v>30808</x:v>
      </x:c>
      <x:c r="X5" s="6" t="n">
        <x:v>32360</x:v>
      </x:c>
      <x:c r="Y5" s="6" t="n">
        <x:v>14046</x:v>
      </x:c>
      <x:c r="Z5" s="6" t="n">
        <x:v>25806</x:v>
      </x:c>
      <x:c r="AA5" s="6" t="n">
        <x:v>35014</x:v>
      </x:c>
      <x:c r="AB5" s="6" t="n">
        <x:f aca="0">SUM(C5:AA5)</x:f>
        <x:v>870270</x:v>
      </x:c>
      <x:c r="AC5" s="6" t="n">
        <x:v>42965</x:v>
      </x:c>
      <x:c r="AD5" s="6" t="n">
        <x:v>41643</x:v>
      </x:c>
      <x:c r="AE5" s="6" t="n">
        <x:v>76895</x:v>
      </x:c>
      <x:c r="AF5" s="6" t="n">
        <x:v>40213</x:v>
      </x:c>
      <x:c r="AG5" s="6" t="n">
        <x:f aca="0">SUM(AC5:AF5)</x:f>
        <x:v>201716</x:v>
      </x:c>
      <x:c r="AH5" s="6" t="n">
        <x:v>0</x:v>
      </x:c>
      <x:c r="AI5" s="6" t="n">
        <x:v>185000</x:v>
      </x:c>
      <x:c r="AJ5" s="6" t="n">
        <x:v>200000</x:v>
      </x:c>
      <x:c r="AK5" s="6" t="n">
        <x:v>183000</x:v>
      </x:c>
      <x:c r="AL5" t="n">
        <x:v>175000</x:v>
      </x:c>
      <x:c r="AM5" s="4" t="n">
        <x:f aca="0">SUM(AH5:AL5)</x:f>
        <x:v>743000</x:v>
      </x:c>
      <x:c r="AN5" s="4" t="n">
        <x:f aca="0">AB5+AG5+AM5</x:f>
        <x:v>1814986</x:v>
      </x:c>
    </x:row>
    <x:row r="6" ht="15" hidden="0" customHeight="1">
      <x:c r="A6" s="2" t="s">
        <x:v>48</x:v>
      </x:c>
      <x:c r="C6" s="6" t="n">
        <x:v>0</x:v>
      </x:c>
      <x:c r="D6" s="6" t="n">
        <x:v>0</x:v>
      </x:c>
      <x:c r="E6" s="6" t="n">
        <x:v>0</x:v>
      </x:c>
      <x:c r="F6" s="6" t="n">
        <x:v>0</x:v>
      </x:c>
      <x:c r="G6" s="6" t="n">
        <x:v>0</x:v>
      </x:c>
      <x:c r="H6" s="6" t="n">
        <x:v>0</x:v>
      </x:c>
      <x:c r="I6" s="6" t="n">
        <x:v>0</x:v>
      </x:c>
      <x:c r="J6" s="6" t="n">
        <x:v>0</x:v>
      </x:c>
      <x:c r="K6" s="6" t="n">
        <x:v>0</x:v>
      </x:c>
      <x:c r="L6" s="6" t="n">
        <x:v>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n">
        <x:v>0</x:v>
      </x:c>
      <x:c r="S6" s="6" t="n">
        <x:v>0</x:v>
      </x:c>
      <x:c r="T6" s="6" t="n">
        <x:v>0</x:v>
      </x:c>
      <x:c r="U6" s="6" t="n">
        <x:v>0</x:v>
      </x:c>
      <x:c r="V6" s="6" t="n">
        <x:v>0</x:v>
      </x:c>
      <x:c r="W6" s="6" t="n">
        <x:v>0</x:v>
      </x:c>
      <x:c r="X6" s="6" t="n">
        <x:v>0</x:v>
      </x:c>
      <x:c r="Y6" s="6" t="n">
        <x:v>0</x:v>
      </x:c>
      <x:c r="Z6" s="6" t="n">
        <x:v>0</x:v>
      </x:c>
      <x:c r="AA6" s="6" t="n">
        <x:v>0</x:v>
      </x:c>
      <x:c r="AB6" s="6" t="n">
        <x:f aca="0">SUM(C6:AA6)</x:f>
        <x:v>0</x:v>
      </x:c>
      <x:c r="AC6" s="6" t="n">
        <x:v>0</x:v>
      </x:c>
      <x:c r="AD6" s="6" t="n">
        <x:v>0</x:v>
      </x:c>
      <x:c r="AE6" s="6" t="n">
        <x:v>0</x:v>
      </x:c>
      <x:c r="AF6" s="6" t="n">
        <x:v>0</x:v>
      </x:c>
      <x:c r="AG6" s="6" t="n">
        <x:f aca="0">SUM(AC6:AF6)</x:f>
        <x:v>0</x:v>
      </x:c>
      <x:c r="AH6" s="6" t="n">
        <x:v>150000</x:v>
      </x:c>
      <x:c r="AI6" s="6" t="n">
        <x:v>0</x:v>
      </x:c>
      <x:c r="AJ6" s="6" t="n">
        <x:v>0</x:v>
      </x:c>
      <x:c r="AK6" s="6" t="n">
        <x:v>0</x:v>
      </x:c>
      <x:c r="AL6" t="n">
        <x:v>0</x:v>
      </x:c>
      <x:c r="AM6" s="4" t="n">
        <x:f aca="0">SUM(AH6:AL6)</x:f>
        <x:v>150000</x:v>
      </x:c>
      <x:c r="AN6" s="4" t="n">
        <x:f aca="0">AB6+AG6+AM6</x:f>
        <x:v>150000</x:v>
      </x:c>
    </x:row>
    <x:row r="7" ht="15" hidden="0" customHeight="1">
      <x:c r="A7" s="2" t="s">
        <x:v>49</x:v>
      </x:c>
      <x:c r="C7" s="6" t="n">
        <x:v>0</x:v>
      </x:c>
      <x:c r="D7" s="6" t="n">
        <x:v>0</x:v>
      </x:c>
      <x:c r="E7" s="6" t="n">
        <x:v>0</x:v>
      </x:c>
      <x:c r="F7" s="6" t="n">
        <x:v>0</x:v>
      </x:c>
      <x:c r="G7" s="6" t="n">
        <x:v>0</x:v>
      </x:c>
      <x:c r="H7" s="6" t="n">
        <x:v>0</x:v>
      </x:c>
      <x:c r="I7" s="6" t="n">
        <x:v>0</x:v>
      </x:c>
      <x:c r="J7" s="6" t="n">
        <x:v>0</x:v>
      </x:c>
      <x:c r="K7" s="6" t="n">
        <x:v>0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n">
        <x:v>0</x:v>
      </x:c>
      <x:c r="S7" s="6" t="n">
        <x:v>0</x:v>
      </x:c>
      <x:c r="T7" s="6" t="n">
        <x:v>0</x:v>
      </x:c>
      <x:c r="U7" s="6" t="n">
        <x:v>0</x:v>
      </x:c>
      <x:c r="V7" s="6" t="n">
        <x:v>0</x:v>
      </x:c>
      <x:c r="W7" s="6" t="n">
        <x:v>0</x:v>
      </x:c>
      <x:c r="X7" s="6" t="n">
        <x:v>0</x:v>
      </x:c>
      <x:c r="Y7" s="6" t="n">
        <x:v>0</x:v>
      </x:c>
      <x:c r="Z7" s="6" t="n">
        <x:v>0</x:v>
      </x:c>
      <x:c r="AA7" s="6" t="n">
        <x:v>0</x:v>
      </x:c>
      <x:c r="AB7" s="6" t="n">
        <x:f aca="0">SUM(C7:AA7)</x:f>
        <x:v>0</x:v>
      </x:c>
      <x:c r="AC7" s="6" t="n">
        <x:v>0</x:v>
      </x:c>
      <x:c r="AD7" s="6" t="n">
        <x:v>0</x:v>
      </x:c>
      <x:c r="AE7" s="6" t="n">
        <x:v>0</x:v>
      </x:c>
      <x:c r="AF7" s="6" t="n">
        <x:v>0</x:v>
      </x:c>
      <x:c r="AG7" s="6" t="n">
        <x:f aca="0">SUM(AC7:AF7)</x:f>
        <x:v>0</x:v>
      </x:c>
      <x:c r="AH7" s="6" t="n">
        <x:v>0</x:v>
      </x:c>
      <x:c r="AI7" s="6" t="n">
        <x:v>9000</x:v>
      </x:c>
      <x:c r="AJ7" s="6" t="n">
        <x:v>6000</x:v>
      </x:c>
      <x:c r="AK7" s="6" t="n">
        <x:v>8000</x:v>
      </x:c>
      <x:c r="AL7" t="n">
        <x:v>34000</x:v>
      </x:c>
      <x:c r="AM7" s="4" t="n">
        <x:f aca="0">SUM(AH7:AL7)</x:f>
        <x:v>57000</x:v>
      </x:c>
      <x:c r="AN7" s="4" t="n">
        <x:f aca="0">AB7+AG7+AM7</x:f>
        <x:v>57000</x:v>
      </x:c>
    </x:row>
    <x:row r="8" ht="15" hidden="0" customHeight="1">
      <x:c r="A8" s="2" t="s">
        <x:v>50</x:v>
      </x:c>
      <x:c r="C8" s="6" t="n">
        <x:v>0</x:v>
      </x:c>
      <x:c r="D8" s="6" t="n">
        <x:v>0</x:v>
      </x:c>
      <x:c r="E8" s="6" t="n">
        <x:v>0</x:v>
      </x:c>
      <x:c r="F8" s="6" t="n">
        <x:v>0</x:v>
      </x:c>
      <x:c r="G8" s="6" t="n">
        <x:v>0</x:v>
      </x:c>
      <x:c r="H8" s="6" t="n">
        <x:v>0</x:v>
      </x:c>
      <x:c r="I8" s="6" t="n">
        <x:v>0</x:v>
      </x:c>
      <x:c r="J8" s="6" t="n">
        <x:v>0</x:v>
      </x:c>
      <x:c r="K8" s="6" t="n">
        <x:v>0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n">
        <x:v>0</x:v>
      </x:c>
      <x:c r="S8" s="6" t="n">
        <x:v>0</x:v>
      </x:c>
      <x:c r="T8" s="6" t="n">
        <x:v>0</x:v>
      </x:c>
      <x:c r="U8" s="6" t="n">
        <x:v>0</x:v>
      </x:c>
      <x:c r="V8" s="6" t="n">
        <x:v>0</x:v>
      </x:c>
      <x:c r="W8" s="6" t="n">
        <x:v>0</x:v>
      </x:c>
      <x:c r="X8" s="6" t="n">
        <x:v>0</x:v>
      </x:c>
      <x:c r="Y8" s="6" t="n">
        <x:v>0</x:v>
      </x:c>
      <x:c r="Z8" s="6" t="n">
        <x:v>0</x:v>
      </x:c>
      <x:c r="AA8" s="6" t="n">
        <x:v>0</x:v>
      </x:c>
      <x:c r="AB8" s="6" t="n">
        <x:f aca="0">SUM(C8:AA8)</x:f>
        <x:v>0</x:v>
      </x:c>
      <x:c r="AC8" s="6" t="n">
        <x:v>0</x:v>
      </x:c>
      <x:c r="AD8" s="6" t="n">
        <x:v>0</x:v>
      </x:c>
      <x:c r="AE8" s="6" t="n">
        <x:v>0</x:v>
      </x:c>
      <x:c r="AF8" s="6" t="n">
        <x:v>0</x:v>
      </x:c>
      <x:c r="AG8" s="6" t="n">
        <x:f aca="0">SUM(AC8:AF8)</x:f>
        <x:v>0</x:v>
      </x:c>
      <x:c r="AH8" s="6" t="n">
        <x:v>0</x:v>
      </x:c>
      <x:c r="AI8" s="6" t="n">
        <x:v>0</x:v>
      </x:c>
      <x:c r="AJ8" s="6" t="n">
        <x:v>0</x:v>
      </x:c>
      <x:c r="AK8" s="6" t="n">
        <x:v>27678</x:v>
      </x:c>
      <x:c r="AL8" t="n">
        <x:v>0</x:v>
      </x:c>
      <x:c r="AM8" s="4" t="n">
        <x:f aca="0">SUM(AH8:AL8)</x:f>
        <x:v>27678</x:v>
      </x:c>
      <x:c r="AN8" s="4" t="n">
        <x:f aca="0">AB8+AG8+AM8</x:f>
        <x:v>27678</x:v>
      </x:c>
    </x:row>
    <x:row r="9" ht="15" hidden="0" customHeight="1">
      <x:c r="A9" s="2" t="s">
        <x:v>51</x:v>
      </x:c>
      <x:c r="C9" s="6" t="n">
        <x:v>0</x:v>
      </x:c>
      <x:c r="D9" s="6" t="n">
        <x:v>0</x:v>
      </x:c>
      <x:c r="E9" s="6" t="n">
        <x:v>0</x:v>
      </x:c>
      <x:c r="F9" s="6" t="n">
        <x:v>0</x:v>
      </x:c>
      <x:c r="G9" s="6" t="n">
        <x:v>0</x:v>
      </x:c>
      <x:c r="H9" s="6" t="n">
        <x:v>0</x:v>
      </x:c>
      <x:c r="I9" s="6" t="n">
        <x:v>0</x:v>
      </x:c>
      <x:c r="J9" s="6" t="n">
        <x:v>0</x:v>
      </x:c>
      <x:c r="K9" s="6" t="n">
        <x:v>0</x:v>
      </x:c>
      <x:c r="L9" s="6" t="n">
        <x:v>0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n">
        <x:v>0</x:v>
      </x:c>
      <x:c r="S9" s="6" t="n">
        <x:v>0</x:v>
      </x:c>
      <x:c r="T9" s="6" t="n">
        <x:v>0</x:v>
      </x:c>
      <x:c r="U9" s="6" t="n">
        <x:v>0</x:v>
      </x:c>
      <x:c r="V9" s="6" t="n">
        <x:v>0</x:v>
      </x:c>
      <x:c r="W9" s="6" t="n">
        <x:v>0</x:v>
      </x:c>
      <x:c r="X9" s="6" t="n">
        <x:v>0</x:v>
      </x:c>
      <x:c r="Y9" s="6" t="n">
        <x:v>0</x:v>
      </x:c>
      <x:c r="Z9" s="6" t="n">
        <x:v>0</x:v>
      </x:c>
      <x:c r="AA9" s="6" t="n">
        <x:v>0</x:v>
      </x:c>
      <x:c r="AB9" s="6" t="n">
        <x:f aca="0">SUM(C9:AA9)</x:f>
        <x:v>0</x:v>
      </x:c>
      <x:c r="AC9" s="6" t="n">
        <x:v>0</x:v>
      </x:c>
      <x:c r="AD9" s="6" t="n">
        <x:v>0</x:v>
      </x:c>
      <x:c r="AE9" s="6" t="n">
        <x:v>0</x:v>
      </x:c>
      <x:c r="AF9" s="6" t="n">
        <x:v>0</x:v>
      </x:c>
      <x:c r="AG9" s="6" t="n">
        <x:f aca="0">SUM(AC9:AF9)</x:f>
        <x:v>0</x:v>
      </x:c>
      <x:c r="AH9" s="6" t="n">
        <x:v>0</x:v>
      </x:c>
      <x:c r="AI9" s="6" t="n">
        <x:v>10694</x:v>
      </x:c>
      <x:c r="AJ9" s="6" t="n">
        <x:v>0</x:v>
      </x:c>
      <x:c r="AK9" s="6" t="n">
        <x:v>30891</x:v>
      </x:c>
      <x:c r="AL9" t="n">
        <x:v>0</x:v>
      </x:c>
      <x:c r="AM9" s="4" t="n">
        <x:f aca="0">SUM(AH9:AL9)</x:f>
        <x:v>41585</x:v>
      </x:c>
      <x:c r="AN9" s="4" t="n">
        <x:f aca="0">AB9+AG9+AM9</x:f>
        <x:v>41585</x:v>
      </x:c>
    </x:row>
    <x:row r="10" ht="15" hidden="0" customHeight="1">
      <x:c r="A10" s="2" t="s">
        <x:v>52</x:v>
      </x:c>
      <x:c r="C10" s="6" t="n">
        <x:v>0</x:v>
      </x:c>
      <x:c r="D10" s="6" t="n">
        <x:v>0</x:v>
      </x:c>
      <x:c r="E10" s="6" t="n">
        <x:v>0</x:v>
      </x:c>
      <x:c r="F10" s="6" t="n">
        <x:v>0</x:v>
      </x:c>
      <x:c r="G10" s="6" t="n">
        <x:v>0</x:v>
      </x:c>
      <x:c r="H10" s="6" t="n">
        <x:v>0</x:v>
      </x:c>
      <x:c r="I10" s="6" t="n">
        <x:v>0</x:v>
      </x:c>
      <x:c r="J10" s="6" t="n">
        <x:v>0</x:v>
      </x:c>
      <x:c r="K10" s="6" t="n">
        <x:v>0</x:v>
      </x:c>
      <x:c r="L10" s="6" t="n">
        <x:v>0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n">
        <x:v>0</x:v>
      </x:c>
      <x:c r="S10" s="6" t="n">
        <x:v>0</x:v>
      </x:c>
      <x:c r="T10" s="6" t="n">
        <x:v>0</x:v>
      </x:c>
      <x:c r="U10" s="6" t="n">
        <x:v>0</x:v>
      </x:c>
      <x:c r="V10" s="6" t="n">
        <x:v>0</x:v>
      </x:c>
      <x:c r="W10" s="6" t="n">
        <x:v>0</x:v>
      </x:c>
      <x:c r="X10" s="6" t="n">
        <x:v>0</x:v>
      </x:c>
      <x:c r="Y10" s="6" t="n">
        <x:v>0</x:v>
      </x:c>
      <x:c r="Z10" s="6" t="n">
        <x:v>0</x:v>
      </x:c>
      <x:c r="AA10" s="6" t="n">
        <x:v>0</x:v>
      </x:c>
      <x:c r="AB10" s="6" t="n">
        <x:f aca="0">SUM(C10:AA10)</x:f>
        <x:v>0</x:v>
      </x:c>
      <x:c r="AC10" s="6" t="n">
        <x:v>0</x:v>
      </x:c>
      <x:c r="AD10" s="6" t="n">
        <x:v>0</x:v>
      </x:c>
      <x:c r="AE10" s="6" t="n">
        <x:v>0</x:v>
      </x:c>
      <x:c r="AF10" s="6" t="n">
        <x:v>0</x:v>
      </x:c>
      <x:c r="AG10" s="6" t="n">
        <x:f aca="0">SUM(AC10:AF10)</x:f>
        <x:v>0</x:v>
      </x:c>
      <x:c r="AH10" s="6" t="n">
        <x:v>0</x:v>
      </x:c>
      <x:c r="AI10" s="6" t="n">
        <x:v>110000</x:v>
      </x:c>
      <x:c r="AJ10" s="6" t="n">
        <x:v>0</x:v>
      </x:c>
      <x:c r="AK10" s="6" t="n">
        <x:v>56417</x:v>
      </x:c>
      <x:c r="AL10" t="n">
        <x:v>100000</x:v>
      </x:c>
      <x:c r="AM10" s="4" t="n">
        <x:f aca="0">SUM(AH10:AL10)</x:f>
        <x:v>266417</x:v>
      </x:c>
      <x:c r="AN10" s="4" t="n">
        <x:f aca="0">AB10+AG10+AM10</x:f>
        <x:v>266417</x:v>
      </x:c>
    </x:row>
    <x:row r="11" ht="15" hidden="0" customHeight="1">
      <x:c r="A11" s="2" t="s">
        <x:v>53</x:v>
      </x:c>
      <x:c r="C11" s="6" t="n">
        <x:v>1640</x:v>
      </x:c>
      <x:c r="D11" s="6" t="n">
        <x:v>3006</x:v>
      </x:c>
      <x:c r="E11" s="6" t="n">
        <x:v>2004</x:v>
      </x:c>
      <x:c r="F11" s="6" t="n">
        <x:v>3780</x:v>
      </x:c>
      <x:c r="G11" s="6" t="n">
        <x:v>1800</x:v>
      </x:c>
      <x:c r="H11" s="6" t="n">
        <x:v>3900</x:v>
      </x:c>
      <x:c r="I11" s="6" t="n">
        <x:v>2240</x:v>
      </x:c>
      <x:c r="J11" s="6" t="n">
        <x:v>0</x:v>
      </x:c>
      <x:c r="K11" s="6" t="n">
        <x:v>3080</x:v>
      </x:c>
      <x:c r="L11" s="6" t="n">
        <x:v>3080</x:v>
      </x:c>
      <x:c r="M11" s="6" t="n">
        <x:v>5344</x:v>
      </x:c>
      <x:c r="N11" s="6" t="n">
        <x:v>314</x:v>
      </x:c>
      <x:c r="O11" s="6" t="n">
        <x:v>4584</x:v>
      </x:c>
      <x:c r="P11" s="6" t="n">
        <x:v>0</x:v>
      </x:c>
      <x:c r="Q11" s="6" t="n">
        <x:v>0</x:v>
      </x:c>
      <x:c r="R11" s="6" t="n">
        <x:v>0</x:v>
      </x:c>
      <x:c r="S11" s="6" t="n">
        <x:v>0</x:v>
      </x:c>
      <x:c r="T11" s="6" t="n">
        <x:v>0</x:v>
      </x:c>
      <x:c r="U11" s="6" t="n">
        <x:v>0</x:v>
      </x:c>
      <x:c r="V11" s="6" t="n">
        <x:v>0</x:v>
      </x:c>
      <x:c r="W11" s="6" t="n">
        <x:v>0</x:v>
      </x:c>
      <x:c r="X11" s="6" t="n">
        <x:v>0</x:v>
      </x:c>
      <x:c r="Y11" s="6" t="n">
        <x:v>0</x:v>
      </x:c>
      <x:c r="Z11" s="6" t="n">
        <x:v>0</x:v>
      </x:c>
      <x:c r="AA11" s="6" t="n">
        <x:v>6664</x:v>
      </x:c>
      <x:c r="AB11" s="6" t="n">
        <x:f aca="0">SUM(C11:AA11)</x:f>
        <x:v>41436</x:v>
      </x:c>
      <x:c r="AC11" s="6" t="n">
        <x:v>3820</x:v>
      </x:c>
      <x:c r="AD11" s="6" t="n">
        <x:v>4774</x:v>
      </x:c>
      <x:c r="AE11" s="6" t="n">
        <x:v>9100</x:v>
      </x:c>
      <x:c r="AF11" s="6" t="n">
        <x:v>4110</x:v>
      </x:c>
      <x:c r="AG11" s="6" t="n">
        <x:f aca="0">SUM(AC11:AF11)</x:f>
        <x:v>21804</x:v>
      </x:c>
      <x:c r="AH11" s="6" t="n">
        <x:v>0</x:v>
      </x:c>
      <x:c r="AI11" s="6" t="n">
        <x:v>15670</x:v>
      </x:c>
      <x:c r="AJ11" s="6" t="n">
        <x:v>0</x:v>
      </x:c>
      <x:c r="AK11" s="6" t="n">
        <x:v>10110</x:v>
      </x:c>
      <x:c r="AL11" t="n">
        <x:v>5960</x:v>
      </x:c>
      <x:c r="AM11" s="4" t="n">
        <x:f aca="0">SUM(AH11:AL11)</x:f>
        <x:v>31740</x:v>
      </x:c>
      <x:c r="AN11" s="4" t="n">
        <x:f aca="0">AB11+AG11+AM11</x:f>
        <x:v>94980</x:v>
      </x:c>
    </x:row>
    <x:row r="12" ht="15" hidden="0" customHeight="1">
      <x:c r="A12" s="2" t="s">
        <x:v>54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1439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  <x:c r="Y12" s="6" t="n">
        <x:v>0</x:v>
      </x:c>
      <x:c r="Z12" s="6" t="n">
        <x:v>0</x:v>
      </x:c>
      <x:c r="AA12" s="6" t="n">
        <x:v>0</x:v>
      </x:c>
      <x:c r="AB12" s="6" t="n">
        <x:f aca="0">SUM(C12:AA12)</x:f>
        <x:v>1439</x:v>
      </x:c>
      <x:c r="AC12" s="6" t="n">
        <x:v>0</x:v>
      </x:c>
      <x:c r="AD12" s="6" t="n">
        <x:v>0</x:v>
      </x:c>
      <x:c r="AE12" s="6" t="n">
        <x:v>0</x:v>
      </x:c>
      <x:c r="AF12" s="6" t="n">
        <x:v>0</x:v>
      </x:c>
      <x:c r="AG12" s="6" t="n">
        <x:f aca="0">SUM(AC12:AF12)</x:f>
        <x:v>0</x:v>
      </x:c>
      <x:c r="AH12" s="6" t="n">
        <x:v>0</x:v>
      </x:c>
      <x:c r="AI12" s="6" t="n">
        <x:v>0</x:v>
      </x:c>
      <x:c r="AJ12" s="6" t="n">
        <x:v>0</x:v>
      </x:c>
      <x:c r="AK12" s="6" t="n">
        <x:v>0</x:v>
      </x:c>
      <x:c r="AL12" t="n">
        <x:v>0</x:v>
      </x:c>
      <x:c r="AM12" s="4" t="n">
        <x:f aca="0">SUM(AH12:AL12)</x:f>
        <x:v>0</x:v>
      </x:c>
      <x:c r="AN12" s="4" t="n">
        <x:f aca="0">AB12+AG12+AM12</x:f>
        <x:v>1439</x:v>
      </x:c>
    </x:row>
    <x:row r="13" ht="15" hidden="0" customHeight="1">
      <x:c r="A13" s="2" t="s">
        <x:v>55</x:v>
      </x:c>
      <x:c r="C13" s="6" t="n">
        <x:v>612</x:v>
      </x:c>
      <x:c r="D13" s="6" t="n">
        <x:v>2143</x:v>
      </x:c>
      <x:c r="E13" s="6" t="n">
        <x:v>765</x:v>
      </x:c>
      <x:c r="F13" s="6" t="n">
        <x:v>535</x:v>
      </x:c>
      <x:c r="G13" s="6" t="n">
        <x:v>1837</x:v>
      </x:c>
      <x:c r="H13" s="6" t="n">
        <x:v>2756</x:v>
      </x:c>
      <x:c r="I13" s="6" t="n">
        <x:v>306</x:v>
      </x:c>
      <x:c r="J13" s="6" t="n">
        <x:v>408</x:v>
      </x:c>
      <x:c r="K13" s="6" t="n">
        <x:v>0</x:v>
      </x:c>
      <x:c r="L13" s="6" t="n">
        <x:v>0</x:v>
      </x:c>
      <x:c r="M13" s="6" t="n">
        <x:v>1464</x:v>
      </x:c>
      <x:c r="N13" s="6" t="n">
        <x:v>0</x:v>
      </x:c>
      <x:c r="O13" s="6" t="n">
        <x:v>5</x:v>
      </x:c>
      <x:c r="P13" s="6" t="n">
        <x:v>0</x:v>
      </x:c>
      <x:c r="Q13" s="6" t="n">
        <x:v>0</x:v>
      </x:c>
      <x:c r="R13" s="6" t="n">
        <x:v>1122</x:v>
      </x:c>
      <x:c r="S13" s="6" t="n">
        <x:v>1066</x:v>
      </x:c>
      <x:c r="T13" s="6" t="n">
        <x:v>178</x:v>
      </x:c>
      <x:c r="U13" s="6" t="n">
        <x:v>0</x:v>
      </x:c>
      <x:c r="V13" s="6" t="n">
        <x:v>127</x:v>
      </x:c>
      <x:c r="W13" s="6" t="n">
        <x:v>91</x:v>
      </x:c>
      <x:c r="X13" s="6" t="n">
        <x:v>204</x:v>
      </x:c>
      <x:c r="Y13" s="6" t="n">
        <x:v>61</x:v>
      </x:c>
      <x:c r="Z13" s="6" t="n">
        <x:v>86</x:v>
      </x:c>
      <x:c r="AA13" s="6" t="n">
        <x:v>178</x:v>
      </x:c>
      <x:c r="AB13" s="6" t="n">
        <x:f aca="0">SUM(C13:AA13)</x:f>
        <x:v>13944</x:v>
      </x:c>
      <x:c r="AC13" s="6" t="n">
        <x:v>720</x:v>
      </x:c>
      <x:c r="AD13" s="6" t="n">
        <x:v>736</x:v>
      </x:c>
      <x:c r="AE13" s="6" t="n">
        <x:v>980</x:v>
      </x:c>
      <x:c r="AF13" s="6" t="n">
        <x:v>341</x:v>
      </x:c>
      <x:c r="AG13" s="6" t="n">
        <x:f aca="0">SUM(AC13:AF13)</x:f>
        <x:v>2777</x:v>
      </x:c>
      <x:c r="AH13" s="6" t="n">
        <x:v>0</x:v>
      </x:c>
      <x:c r="AI13" s="6" t="n">
        <x:v>0</x:v>
      </x:c>
      <x:c r="AJ13" s="6" t="n">
        <x:v>0</x:v>
      </x:c>
      <x:c r="AK13" s="6" t="n">
        <x:v>0</x:v>
      </x:c>
      <x:c r="AL13" t="n">
        <x:v>0</x:v>
      </x:c>
      <x:c r="AM13" s="4" t="n">
        <x:f aca="0">SUM(AH13:AL13)</x:f>
        <x:v>0</x:v>
      </x:c>
      <x:c r="AN13" s="4" t="n">
        <x:f aca="0">AB13+AG13+AM13</x:f>
        <x:v>16721</x:v>
      </x:c>
    </x:row>
    <x:row r="14" ht="15" hidden="0" customHeight="1">
      <x:c r="A14" s="2" t="s">
        <x:v>56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  <x:c r="Y14" s="6" t="n">
        <x:v>0</x:v>
      </x:c>
      <x:c r="Z14" s="6" t="n">
        <x:v>0</x:v>
      </x:c>
      <x:c r="AA14" s="6" t="n">
        <x:v>0</x:v>
      </x:c>
      <x:c r="AB14" s="6" t="n">
        <x:f aca="0">SUM(C14:AA14)</x:f>
        <x:v>0</x:v>
      </x:c>
      <x:c r="AC14" s="6" t="n">
        <x:v>0</x:v>
      </x:c>
      <x:c r="AD14" s="6" t="n">
        <x:v>0</x:v>
      </x:c>
      <x:c r="AE14" s="6" t="n">
        <x:v>0</x:v>
      </x:c>
      <x:c r="AF14" s="6" t="n">
        <x:v>0</x:v>
      </x:c>
      <x:c r="AG14" s="6" t="n">
        <x:f aca="0">SUM(AC14:AF14)</x:f>
        <x:v>0</x:v>
      </x:c>
      <x:c r="AH14" s="6" t="n">
        <x:v>0</x:v>
      </x:c>
      <x:c r="AI14" s="6" t="n">
        <x:v>0</x:v>
      </x:c>
      <x:c r="AJ14" s="6" t="n">
        <x:v>0</x:v>
      </x:c>
      <x:c r="AK14" s="6" t="n">
        <x:v>0</x:v>
      </x:c>
      <x:c r="AL14" t="n">
        <x:v>0</x:v>
      </x:c>
      <x:c r="AM14" s="4" t="n">
        <x:f aca="0">SUM(AH14:AL14)</x:f>
        <x:v>0</x:v>
      </x:c>
      <x:c r="AN14" s="4" t="n">
        <x:f aca="0">AB14+AG14+AM14</x:f>
        <x:v>0</x:v>
      </x:c>
    </x:row>
    <x:row r="15" ht="15" hidden="0" customHeight="1">
      <x:c r="A15" s="2" t="s">
        <x:v>57</x:v>
      </x:c>
      <x:c r="C15" s="6" t="n">
        <x:v>0</x:v>
      </x:c>
      <x:c r="D15" s="6" t="n">
        <x:v>0</x:v>
      </x:c>
      <x:c r="E15" s="6" t="n">
        <x:v>0</x:v>
      </x:c>
      <x:c r="F15" s="6" t="n">
        <x:v>0</x:v>
      </x:c>
      <x:c r="G15" s="6" t="n">
        <x:v>0</x:v>
      </x:c>
      <x:c r="H15" s="6" t="n">
        <x:v>0</x:v>
      </x:c>
      <x:c r="I15" s="6" t="n">
        <x:v>0</x:v>
      </x:c>
      <x:c r="J15" s="6" t="n">
        <x:v>0</x:v>
      </x:c>
      <x:c r="K15" s="6" t="n">
        <x:v>0</x:v>
      </x:c>
      <x:c r="L15" s="6" t="n">
        <x:v>0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n">
        <x:v>0</x:v>
      </x:c>
      <x:c r="S15" s="6" t="n">
        <x:v>0</x:v>
      </x:c>
      <x:c r="T15" s="6" t="n">
        <x:v>0</x:v>
      </x:c>
      <x:c r="U15" s="6" t="n">
        <x:v>0</x:v>
      </x:c>
      <x:c r="V15" s="6" t="n">
        <x:v>0</x:v>
      </x:c>
      <x:c r="W15" s="6" t="n">
        <x:v>0</x:v>
      </x:c>
      <x:c r="X15" s="6" t="n">
        <x:v>0</x:v>
      </x:c>
      <x:c r="Y15" s="6" t="n">
        <x:v>0</x:v>
      </x:c>
      <x:c r="Z15" s="6" t="n">
        <x:v>0</x:v>
      </x:c>
      <x:c r="AA15" s="6" t="n">
        <x:v>0</x:v>
      </x:c>
      <x:c r="AB15" s="6" t="n">
        <x:f aca="0">SUM(C15:AA15)</x:f>
        <x:v>0</x:v>
      </x:c>
      <x:c r="AC15" s="6" t="n">
        <x:v>0</x:v>
      </x:c>
      <x:c r="AD15" s="6" t="n">
        <x:v>0</x:v>
      </x:c>
      <x:c r="AE15" s="6" t="n">
        <x:v>0</x:v>
      </x:c>
      <x:c r="AF15" s="6" t="n">
        <x:v>0</x:v>
      </x:c>
      <x:c r="AG15" s="6" t="n">
        <x:f aca="0">SUM(AC15:AF15)</x:f>
        <x:v>0</x:v>
      </x:c>
      <x:c r="AH15" s="6" t="n">
        <x:v>0</x:v>
      </x:c>
      <x:c r="AI15" s="6" t="n">
        <x:v>0</x:v>
      </x:c>
      <x:c r="AJ15" s="6" t="n">
        <x:v>0</x:v>
      </x:c>
      <x:c r="AK15" s="6" t="n">
        <x:v>0</x:v>
      </x:c>
      <x:c r="AL15" t="n">
        <x:v>0</x:v>
      </x:c>
      <x:c r="AM15" s="4" t="n">
        <x:f aca="0">SUM(AH15:AL15)</x:f>
        <x:v>0</x:v>
      </x:c>
      <x:c r="AN15" s="4" t="n">
        <x:f aca="0">AB15+AG15+AM15</x:f>
        <x:v>0</x:v>
      </x:c>
    </x:row>
    <x:row r="16" ht="15" hidden="0" customHeight="1">
      <x:c r="A16" s="2" t="s">
        <x:v>58</x:v>
      </x:c>
      <x:c r="C16" s="6" t="n">
        <x:f aca="0">SUM(C5:C10,C12:C15)</x:f>
        <x:v>16537</x:v>
      </x:c>
      <x:c r="D16" s="6" t="n">
        <x:f aca="0">SUM(D5:D10,D12:D15)</x:f>
        <x:v>61555</x:v>
      </x:c>
      <x:c r="E16" s="6" t="n">
        <x:f aca="0">SUM(E5:E10,E12:E15)</x:f>
        <x:v>40577</x:v>
      </x:c>
      <x:c r="F16" s="6" t="n">
        <x:f aca="0">SUM(F5:F10,F12:F15)</x:f>
        <x:v>43103</x:v>
      </x:c>
      <x:c r="G16" s="6" t="n">
        <x:f aca="0">SUM(G5:G10,G12:G15)</x:f>
        <x:v>30012</x:v>
      </x:c>
      <x:c r="H16" s="6" t="n">
        <x:f aca="0">SUM(H5:H10,H12:H15)</x:f>
        <x:v>93406</x:v>
      </x:c>
      <x:c r="I16" s="6" t="n">
        <x:f aca="0">SUM(I5:I10,I12:I15)</x:f>
        <x:v>30624</x:v>
      </x:c>
      <x:c r="J16" s="6" t="n">
        <x:f aca="0">SUM(J5:J10,J12:J15)</x:f>
        <x:v>21641</x:v>
      </x:c>
      <x:c r="K16" s="6" t="n">
        <x:f aca="0">SUM(K5:K10,K12:K15)</x:f>
        <x:v>47979</x:v>
      </x:c>
      <x:c r="L16" s="6" t="n">
        <x:f aca="0">SUM(L5:L10,L12:L15)</x:f>
        <x:v>49204</x:v>
      </x:c>
      <x:c r="M16" s="6" t="n">
        <x:f aca="0">SUM(M5:M10,M12:M15)</x:f>
        <x:v>105558</x:v>
      </x:c>
      <x:c r="N16" s="6" t="n">
        <x:f aca="0">SUM(N5:N10,N12:N15)</x:f>
        <x:v>7350</x:v>
      </x:c>
      <x:c r="O16" s="6" t="n">
        <x:f aca="0">SUM(O5:O10,O12:O15)</x:f>
        <x:v>26485</x:v>
      </x:c>
      <x:c r="P16" s="6" t="n">
        <x:f aca="0">SUM(P5:P10,P12:P15)</x:f>
        <x:v>18027</x:v>
      </x:c>
      <x:c r="Q16" s="6" t="n">
        <x:f aca="0">SUM(Q5:Q10,Q12:Q15)</x:f>
        <x:v>6839</x:v>
      </x:c>
      <x:c r="R16" s="6" t="n">
        <x:f aca="0">SUM(R5:R10,R12:R15)</x:f>
        <x:v>38545</x:v>
      </x:c>
      <x:c r="S16" s="6" t="n">
        <x:f aca="0">SUM(S5:S10,S12:S15)</x:f>
        <x:v>29894</x:v>
      </x:c>
      <x:c r="T16" s="6" t="n">
        <x:f aca="0">SUM(T5:T10,T12:T15)</x:f>
        <x:v>52689</x:v>
      </x:c>
      <x:c r="U16" s="6" t="n">
        <x:f aca="0">SUM(U5:U10,U12:U15)</x:f>
        <x:v>17395</x:v>
      </x:c>
      <x:c r="V16" s="6" t="n">
        <x:f aca="0">SUM(V5:V10,V12:V15)</x:f>
        <x:v>9579</x:v>
      </x:c>
      <x:c r="W16" s="6" t="n">
        <x:f aca="0">SUM(W5:W10,W12:W15)</x:f>
        <x:v>30899</x:v>
      </x:c>
      <x:c r="X16" s="6" t="n">
        <x:f aca="0">SUM(X5:X10,X12:X15)</x:f>
        <x:v>32564</x:v>
      </x:c>
      <x:c r="Y16" s="6" t="n">
        <x:f aca="0">SUM(Y5:Y10,Y12:Y15)</x:f>
        <x:v>14107</x:v>
      </x:c>
      <x:c r="Z16" s="6" t="n">
        <x:f aca="0">SUM(Z5:Z10,Z12:Z15)</x:f>
        <x:v>25892</x:v>
      </x:c>
      <x:c r="AA16" s="6" t="n">
        <x:f aca="0">SUM(AA5:AA10,AA12:AA15)</x:f>
        <x:v>35192</x:v>
      </x:c>
      <x:c r="AB16" s="6" t="n">
        <x:f aca="0">SUM(C16:AA16)</x:f>
        <x:v>885653</x:v>
      </x:c>
      <x:c r="AC16" s="6" t="n">
        <x:f aca="0">SUM(AC5:AC10,AC12:AC15)</x:f>
        <x:v>43685</x:v>
      </x:c>
      <x:c r="AD16" s="6" t="n">
        <x:f aca="0">SUM(AD5:AD10,AD12:AD15)</x:f>
        <x:v>42379</x:v>
      </x:c>
      <x:c r="AE16" s="6" t="n">
        <x:f aca="0">SUM(AE5:AE10,AE12:AE15)</x:f>
        <x:v>77875</x:v>
      </x:c>
      <x:c r="AF16" s="6" t="n">
        <x:f aca="0">SUM(AF5:AF10,AF12:AF15)</x:f>
        <x:v>40554</x:v>
      </x:c>
      <x:c r="AG16" s="6" t="n">
        <x:f aca="0">SUM(AC16:AF16)</x:f>
        <x:v>204493</x:v>
      </x:c>
      <x:c r="AH16" s="6" t="n">
        <x:f aca="0">SUM(AH5:AH10,AH12:AH15)</x:f>
        <x:v>150000</x:v>
      </x:c>
      <x:c r="AI16" s="6" t="n">
        <x:f aca="0">SUM(AI5:AI10,AI12:AI15)</x:f>
        <x:v>314694</x:v>
      </x:c>
      <x:c r="AJ16" s="6" t="n">
        <x:f aca="0">SUM(AJ5:AJ10,AJ12:AJ15)</x:f>
        <x:v>206000</x:v>
      </x:c>
      <x:c r="AK16" s="6" t="n">
        <x:f aca="0">SUM(AK5:AK10,AK12:AK15)</x:f>
        <x:v>305986</x:v>
      </x:c>
      <x:c r="AL16" s="4" t="n">
        <x:f aca="0">SUM(AL5:AL10,AL12:AL15)</x:f>
        <x:v>309000</x:v>
      </x:c>
      <x:c r="AM16" s="4" t="n">
        <x:f aca="0">SUM(AH16:AL16)</x:f>
        <x:v>1285680</x:v>
      </x:c>
      <x:c r="AN16" s="4" t="n">
        <x:f aca="0">AB16+AG16+AM16</x:f>
        <x:v>2375826</x:v>
      </x:c>
    </x:row>
    <x:row r="17" ht="15" hidden="0" customHeight="1">
      <x:c r="A17" s="2" t="s">
        <x:v>59</x:v>
      </x:c>
      <x:c r="C17" s="6" t="n">
        <x:f aca="0">C11</x:f>
        <x:v>1640</x:v>
      </x:c>
      <x:c r="D17" s="6" t="n">
        <x:f aca="0">D11</x:f>
        <x:v>3006</x:v>
      </x:c>
      <x:c r="E17" s="6" t="n">
        <x:f aca="0">E11</x:f>
        <x:v>2004</x:v>
      </x:c>
      <x:c r="F17" s="6" t="n">
        <x:f aca="0">F11</x:f>
        <x:v>3780</x:v>
      </x:c>
      <x:c r="G17" s="6" t="n">
        <x:f aca="0">G11</x:f>
        <x:v>1800</x:v>
      </x:c>
      <x:c r="H17" s="6" t="n">
        <x:f aca="0">H11</x:f>
        <x:v>3900</x:v>
      </x:c>
      <x:c r="I17" s="6" t="n">
        <x:f aca="0">I11</x:f>
        <x:v>2240</x:v>
      </x:c>
      <x:c r="J17" s="6" t="n">
        <x:f aca="0">J11</x:f>
        <x:v>0</x:v>
      </x:c>
      <x:c r="K17" s="6" t="n">
        <x:f aca="0">K11</x:f>
        <x:v>3080</x:v>
      </x:c>
      <x:c r="L17" s="6" t="n">
        <x:f aca="0">L11</x:f>
        <x:v>3080</x:v>
      </x:c>
      <x:c r="M17" s="6" t="n">
        <x:f aca="0">M11</x:f>
        <x:v>5344</x:v>
      </x:c>
      <x:c r="N17" s="6" t="n">
        <x:f aca="0">N11</x:f>
        <x:v>314</x:v>
      </x:c>
      <x:c r="O17" s="6" t="n">
        <x:f aca="0">O11</x:f>
        <x:v>4584</x:v>
      </x:c>
      <x:c r="P17" s="6" t="n">
        <x:f aca="0">P11</x:f>
        <x:v>0</x:v>
      </x:c>
      <x:c r="Q17" s="6" t="n">
        <x:f aca="0">Q11</x:f>
        <x:v>0</x:v>
      </x:c>
      <x:c r="R17" s="6" t="n">
        <x:f aca="0">R11</x:f>
        <x:v>0</x:v>
      </x:c>
      <x:c r="S17" s="6" t="n">
        <x:f aca="0">S11</x:f>
        <x:v>0</x:v>
      </x:c>
      <x:c r="T17" s="6" t="n">
        <x:f aca="0">T11</x:f>
        <x:v>0</x:v>
      </x:c>
      <x:c r="U17" s="6" t="n">
        <x:f aca="0">U11</x:f>
        <x:v>0</x:v>
      </x:c>
      <x:c r="V17" s="6" t="n">
        <x:f aca="0">V11</x:f>
        <x:v>0</x:v>
      </x:c>
      <x:c r="W17" s="6" t="n">
        <x:f aca="0">W11</x:f>
        <x:v>0</x:v>
      </x:c>
      <x:c r="X17" s="6" t="n">
        <x:f aca="0">X11</x:f>
        <x:v>0</x:v>
      </x:c>
      <x:c r="Y17" s="6" t="n">
        <x:f aca="0">Y11</x:f>
        <x:v>0</x:v>
      </x:c>
      <x:c r="Z17" s="6" t="n">
        <x:f aca="0">Z11</x:f>
        <x:v>0</x:v>
      </x:c>
      <x:c r="AA17" s="6" t="n">
        <x:f aca="0">AA11</x:f>
        <x:v>6664</x:v>
      </x:c>
      <x:c r="AB17" s="6" t="n">
        <x:f aca="0">SUM(C17:AA17)</x:f>
        <x:v>41436</x:v>
      </x:c>
      <x:c r="AC17" s="6" t="n">
        <x:f aca="0">AC11</x:f>
        <x:v>3820</x:v>
      </x:c>
      <x:c r="AD17" s="6" t="n">
        <x:f aca="0">AD11</x:f>
        <x:v>4774</x:v>
      </x:c>
      <x:c r="AE17" s="6" t="n">
        <x:f aca="0">AE11</x:f>
        <x:v>9100</x:v>
      </x:c>
      <x:c r="AF17" s="6" t="n">
        <x:f aca="0">AF11</x:f>
        <x:v>4110</x:v>
      </x:c>
      <x:c r="AG17" s="6" t="n">
        <x:f aca="0">SUM(AC17:AF17)</x:f>
        <x:v>21804</x:v>
      </x:c>
      <x:c r="AH17" s="6" t="n">
        <x:f aca="0">AH11</x:f>
        <x:v>0</x:v>
      </x:c>
      <x:c r="AI17" s="6" t="n">
        <x:f aca="0">AI11</x:f>
        <x:v>15670</x:v>
      </x:c>
      <x:c r="AJ17" s="6" t="n">
        <x:f aca="0">AJ11</x:f>
        <x:v>0</x:v>
      </x:c>
      <x:c r="AK17" s="6" t="n">
        <x:f aca="0">AK11</x:f>
        <x:v>10110</x:v>
      </x:c>
      <x:c r="AL17" s="4" t="n">
        <x:f aca="0">AL11</x:f>
        <x:v>5960</x:v>
      </x:c>
      <x:c r="AM17" s="4" t="n">
        <x:f aca="0">SUM(AH17:AL17)</x:f>
        <x:v>31740</x:v>
      </x:c>
      <x:c r="AN17" s="4" t="n">
        <x:f aca="0">AB17+AG17+AM17</x:f>
        <x:v>94980</x:v>
      </x:c>
    </x:row>
    <x:row r="18" ht="15" hidden="0" customHeight="1">
      <x:c r="A18" s="2" t="s">
        <x:v>60</x:v>
      </x:c>
      <x:c r="C18" s="6" t="n">
        <x:f aca="0">C16+C17</x:f>
        <x:v>18177</x:v>
      </x:c>
      <x:c r="D18" s="6" t="n">
        <x:f aca="0">D16+D17</x:f>
        <x:v>64561</x:v>
      </x:c>
      <x:c r="E18" s="6" t="n">
        <x:f aca="0">E16+E17</x:f>
        <x:v>42581</x:v>
      </x:c>
      <x:c r="F18" s="6" t="n">
        <x:f aca="0">F16+F17</x:f>
        <x:v>46883</x:v>
      </x:c>
      <x:c r="G18" s="6" t="n">
        <x:f aca="0">G16+G17</x:f>
        <x:v>31812</x:v>
      </x:c>
      <x:c r="H18" s="6" t="n">
        <x:f aca="0">H16+H17</x:f>
        <x:v>97306</x:v>
      </x:c>
      <x:c r="I18" s="6" t="n">
        <x:f aca="0">I16+I17</x:f>
        <x:v>32864</x:v>
      </x:c>
      <x:c r="J18" s="6" t="n">
        <x:f aca="0">J16+J17</x:f>
        <x:v>21641</x:v>
      </x:c>
      <x:c r="K18" s="6" t="n">
        <x:f aca="0">K16+K17</x:f>
        <x:v>51059</x:v>
      </x:c>
      <x:c r="L18" s="6" t="n">
        <x:f aca="0">L16+L17</x:f>
        <x:v>52284</x:v>
      </x:c>
      <x:c r="M18" s="6" t="n">
        <x:f aca="0">M16+M17</x:f>
        <x:v>110902</x:v>
      </x:c>
      <x:c r="N18" s="6" t="n">
        <x:f aca="0">N16+N17</x:f>
        <x:v>7664</x:v>
      </x:c>
      <x:c r="O18" s="6" t="n">
        <x:f aca="0">O16+O17</x:f>
        <x:v>31069</x:v>
      </x:c>
      <x:c r="P18" s="6" t="n">
        <x:f aca="0">P16+P17</x:f>
        <x:v>18027</x:v>
      </x:c>
      <x:c r="Q18" s="6" t="n">
        <x:f aca="0">Q16+Q17</x:f>
        <x:v>6839</x:v>
      </x:c>
      <x:c r="R18" s="6" t="n">
        <x:f aca="0">R16+R17</x:f>
        <x:v>38545</x:v>
      </x:c>
      <x:c r="S18" s="6" t="n">
        <x:f aca="0">S16+S17</x:f>
        <x:v>29894</x:v>
      </x:c>
      <x:c r="T18" s="6" t="n">
        <x:f aca="0">T16+T17</x:f>
        <x:v>52689</x:v>
      </x:c>
      <x:c r="U18" s="6" t="n">
        <x:f aca="0">U16+U17</x:f>
        <x:v>17395</x:v>
      </x:c>
      <x:c r="V18" s="6" t="n">
        <x:f aca="0">V16+V17</x:f>
        <x:v>9579</x:v>
      </x:c>
      <x:c r="W18" s="6" t="n">
        <x:f aca="0">W16+W17</x:f>
        <x:v>30899</x:v>
      </x:c>
      <x:c r="X18" s="6" t="n">
        <x:f aca="0">X16+X17</x:f>
        <x:v>32564</x:v>
      </x:c>
      <x:c r="Y18" s="6" t="n">
        <x:f aca="0">Y16+Y17</x:f>
        <x:v>14107</x:v>
      </x:c>
      <x:c r="Z18" s="6" t="n">
        <x:f aca="0">Z16+Z17</x:f>
        <x:v>25892</x:v>
      </x:c>
      <x:c r="AA18" s="6" t="n">
        <x:f aca="0">AA16+AA17</x:f>
        <x:v>41856</x:v>
      </x:c>
      <x:c r="AB18" s="6" t="n">
        <x:f aca="0">SUM(C18:AA18)</x:f>
        <x:v>927089</x:v>
      </x:c>
      <x:c r="AC18" s="6" t="n">
        <x:f aca="0">AC16+AC17</x:f>
        <x:v>47505</x:v>
      </x:c>
      <x:c r="AD18" s="6" t="n">
        <x:f aca="0">AD16+AD17</x:f>
        <x:v>47153</x:v>
      </x:c>
      <x:c r="AE18" s="6" t="n">
        <x:f aca="0">AE16+AE17</x:f>
        <x:v>86975</x:v>
      </x:c>
      <x:c r="AF18" s="6" t="n">
        <x:f aca="0">AF16+AF17</x:f>
        <x:v>44664</x:v>
      </x:c>
      <x:c r="AG18" s="6" t="n">
        <x:f aca="0">SUM(AC18:AF18)</x:f>
        <x:v>226297</x:v>
      </x:c>
      <x:c r="AH18" s="6" t="n">
        <x:f aca="0">AH16+AH17</x:f>
        <x:v>150000</x:v>
      </x:c>
      <x:c r="AI18" s="6" t="n">
        <x:f aca="0">AI16+AI17</x:f>
        <x:v>330364</x:v>
      </x:c>
      <x:c r="AJ18" s="6" t="n">
        <x:f aca="0">AJ16+AJ17</x:f>
        <x:v>206000</x:v>
      </x:c>
      <x:c r="AK18" s="6" t="n">
        <x:f aca="0">AK16+AK17</x:f>
        <x:v>316096</x:v>
      </x:c>
      <x:c r="AL18" s="4" t="n">
        <x:f aca="0">AL16+AL17</x:f>
        <x:v>314960</x:v>
      </x:c>
      <x:c r="AM18" s="4" t="n">
        <x:f aca="0">SUM(AH18:AL18)</x:f>
        <x:v>1317420</x:v>
      </x:c>
      <x:c r="AN18" s="4" t="n">
        <x:f aca="0">AB18+AG18+AM18</x:f>
        <x:v>2470806</x:v>
      </x:c>
    </x:row>
    <x:row r="19" ht="15" hidden="0" customHeight="1">
      <x:c r="A19" s="2" t="s">
        <x:v>61</x:v>
      </x:c>
      <x:c r="C19" s="6" t="n">
        <x:v>0</x:v>
      </x:c>
      <x:c r="D19" s="6" t="n">
        <x:v>0</x:v>
      </x:c>
      <x:c r="E19" s="6" t="n">
        <x:v>0</x:v>
      </x:c>
      <x:c r="F19" s="6" t="n">
        <x:v>0</x:v>
      </x:c>
      <x:c r="G19" s="6" t="n">
        <x:v>0</x:v>
      </x:c>
      <x:c r="H19" s="6" t="n">
        <x:v>0</x:v>
      </x:c>
      <x:c r="I19" s="6" t="n">
        <x:v>0</x:v>
      </x:c>
      <x:c r="J19" s="6" t="n">
        <x:v>0</x:v>
      </x:c>
      <x:c r="K19" s="6" t="n">
        <x:v>0</x:v>
      </x:c>
      <x:c r="L19" s="6" t="n">
        <x:v>0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n">
        <x:v>0</x:v>
      </x:c>
      <x:c r="S19" s="6" t="n">
        <x:v>0</x:v>
      </x:c>
      <x:c r="T19" s="6" t="n">
        <x:v>0</x:v>
      </x:c>
      <x:c r="U19" s="6" t="n">
        <x:v>0</x:v>
      </x:c>
      <x:c r="V19" s="6" t="n">
        <x:v>0</x:v>
      </x:c>
      <x:c r="W19" s="6" t="n">
        <x:v>0</x:v>
      </x:c>
      <x:c r="X19" s="6" t="n">
        <x:v>0</x:v>
      </x:c>
      <x:c r="Y19" s="6" t="n">
        <x:v>0</x:v>
      </x:c>
      <x:c r="Z19" s="6" t="n">
        <x:v>0</x:v>
      </x:c>
      <x:c r="AA19" s="6" t="n">
        <x:v>0</x:v>
      </x:c>
      <x:c r="AB19" s="6" t="n">
        <x:f>SUM(C19:AA19)</x:f>
        <x:v>0</x:v>
      </x:c>
      <x:c r="AC19" s="6" t="n">
        <x:v>0</x:v>
      </x:c>
      <x:c r="AD19" s="6" t="n">
        <x:v>0</x:v>
      </x:c>
      <x:c r="AE19" s="6" t="n">
        <x:v>0</x:v>
      </x:c>
      <x:c r="AF19" s="6" t="n">
        <x:v>0</x:v>
      </x:c>
      <x:c r="AG19" s="6" t="n">
        <x:f aca="0">SUM(AC19:AF19)</x:f>
        <x:v>0</x:v>
      </x:c>
      <x:c r="AH19" s="6" t="n">
        <x:v>7440</x:v>
      </x:c>
      <x:c r="AI19" s="6" t="n">
        <x:v>15872</x:v>
      </x:c>
      <x:c r="AJ19" s="6" t="n">
        <x:v>9920</x:v>
      </x:c>
      <x:c r="AK19" s="6" t="n">
        <x:v>13888</x:v>
      </x:c>
      <x:c r="AL19" t="n">
        <x:v>14880</x:v>
      </x:c>
      <x:c r="AM19" s="4" t="n">
        <x:f aca="0">SUM(AH19:AL19)</x:f>
        <x:v>62000</x:v>
      </x:c>
      <x:c r="AN19" s="4" t="n">
        <x:f aca="0">AB19+AG19+AM19</x:f>
        <x:v>62000</x:v>
      </x:c>
    </x:row>
    <x:row r="20" ht="15" hidden="0" customHeight="1">
      <x:c r="A20" s="2" t="s">
        <x:v>62</x:v>
      </x:c>
      <x:c r="C20" s="6" t="n">
        <x:v>0</x:v>
      </x:c>
      <x:c r="D20" s="6" t="n">
        <x:v>0</x:v>
      </x:c>
      <x:c r="E20" s="6" t="n">
        <x:v>0</x:v>
      </x:c>
      <x:c r="F20" s="6" t="n">
        <x:v>0</x:v>
      </x:c>
      <x:c r="G20" s="6" t="n">
        <x:v>0</x:v>
      </x:c>
      <x:c r="H20" s="6" t="n">
        <x:v>0</x:v>
      </x:c>
      <x:c r="I20" s="6" t="n">
        <x:v>0</x:v>
      </x:c>
      <x:c r="J20" s="6" t="n">
        <x:v>0</x:v>
      </x:c>
      <x:c r="K20" s="6" t="n">
        <x:v>0</x:v>
      </x:c>
      <x:c r="L20" s="6" t="n">
        <x:v>0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n">
        <x:v>0</x:v>
      </x:c>
      <x:c r="S20" s="6" t="n">
        <x:v>0</x:v>
      </x:c>
      <x:c r="T20" s="6" t="n">
        <x:v>0</x:v>
      </x:c>
      <x:c r="U20" s="6" t="n">
        <x:v>0</x:v>
      </x:c>
      <x:c r="V20" s="6" t="n">
        <x:v>0</x:v>
      </x:c>
      <x:c r="W20" s="6" t="n">
        <x:v>0</x:v>
      </x:c>
      <x:c r="X20" s="6" t="n">
        <x:v>0</x:v>
      </x:c>
      <x:c r="Y20" s="6" t="n">
        <x:v>0</x:v>
      </x:c>
      <x:c r="Z20" s="6" t="n">
        <x:v>0</x:v>
      </x:c>
      <x:c r="AA20" s="6" t="n">
        <x:v>0</x:v>
      </x:c>
      <x:c r="AB20" s="6" t="n">
        <x:f>SUM(C20:AA20)</x:f>
        <x:v>0</x:v>
      </x:c>
      <x:c r="AC20" s="6" t="n">
        <x:v>0</x:v>
      </x:c>
      <x:c r="AD20" s="6" t="n">
        <x:v>0</x:v>
      </x:c>
      <x:c r="AE20" s="6" t="n">
        <x:v>0</x:v>
      </x:c>
      <x:c r="AF20" s="6" t="n">
        <x:v>0</x:v>
      </x:c>
      <x:c r="AG20" s="6" t="n">
        <x:f aca="0">SUM(AC20:AF20)</x:f>
        <x:v>0</x:v>
      </x:c>
      <x:c r="AH20" s="6" t="n">
        <x:v>172</x:v>
      </x:c>
      <x:c r="AI20" s="6" t="n">
        <x:v>368</x:v>
      </x:c>
      <x:c r="AJ20" s="6" t="n">
        <x:v>230</x:v>
      </x:c>
      <x:c r="AK20" s="6" t="n">
        <x:v>322</x:v>
      </x:c>
      <x:c r="AL20" t="n">
        <x:v>345</x:v>
      </x:c>
      <x:c r="AM20" s="4" t="n">
        <x:f aca="0">SUM(AH20:AL20)</x:f>
        <x:v>1437</x:v>
      </x:c>
      <x:c r="AN20" s="4" t="n">
        <x:f aca="0">AB20+AG20+AM20</x:f>
        <x:v>1437</x:v>
      </x:c>
    </x:row>
    <x:row r="21" ht="15" hidden="0" customHeight="1">
      <x:c r="A21" s="2" t="s">
        <x:v>63</x:v>
      </x:c>
      <x:c r="C21" s="6" t="n">
        <x:v>0</x:v>
      </x:c>
      <x:c r="D21" s="6" t="n">
        <x:v>0</x:v>
      </x:c>
      <x:c r="E21" s="6" t="n">
        <x:v>0</x:v>
      </x:c>
      <x:c r="F21" s="6" t="n">
        <x:v>0</x:v>
      </x:c>
      <x:c r="G21" s="6" t="n">
        <x:v>0</x:v>
      </x:c>
      <x:c r="H21" s="6" t="n">
        <x:v>0</x:v>
      </x:c>
      <x:c r="I21" s="6" t="n">
        <x:v>0</x:v>
      </x:c>
      <x:c r="J21" s="6" t="n">
        <x:v>0</x:v>
      </x:c>
      <x:c r="K21" s="6" t="n">
        <x:v>0</x:v>
      </x:c>
      <x:c r="L21" s="6" t="n">
        <x:v>0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n">
        <x:v>0</x:v>
      </x:c>
      <x:c r="S21" s="6" t="n">
        <x:v>0</x:v>
      </x:c>
      <x:c r="T21" s="6" t="n">
        <x:v>0</x:v>
      </x:c>
      <x:c r="U21" s="6" t="n">
        <x:v>0</x:v>
      </x:c>
      <x:c r="V21" s="6" t="n">
        <x:v>0</x:v>
      </x:c>
      <x:c r="W21" s="6" t="n">
        <x:v>0</x:v>
      </x:c>
      <x:c r="X21" s="6" t="n">
        <x:v>0</x:v>
      </x:c>
      <x:c r="Y21" s="6" t="n">
        <x:v>0</x:v>
      </x:c>
      <x:c r="Z21" s="6" t="n">
        <x:v>0</x:v>
      </x:c>
      <x:c r="AA21" s="6" t="n">
        <x:v>0</x:v>
      </x:c>
      <x:c r="AB21" s="6" t="n">
        <x:f>SUM(C21:AA21)</x:f>
        <x:v>0</x:v>
      </x:c>
      <x:c r="AC21" s="6" t="n">
        <x:v>0</x:v>
      </x:c>
      <x:c r="AD21" s="6" t="n">
        <x:v>0</x:v>
      </x:c>
      <x:c r="AE21" s="6" t="n">
        <x:v>0</x:v>
      </x:c>
      <x:c r="AF21" s="6" t="n">
        <x:v>0</x:v>
      </x:c>
      <x:c r="AG21" s="6" t="n">
        <x:f aca="0">SUM(AC21:AF21)</x:f>
        <x:v>0</x:v>
      </x:c>
      <x:c r="AH21" s="6" t="n">
        <x:v>1215</x:v>
      </x:c>
      <x:c r="AI21" s="6" t="n">
        <x:v>2592</x:v>
      </x:c>
      <x:c r="AJ21" s="6" t="n">
        <x:v>1620</x:v>
      </x:c>
      <x:c r="AK21" s="6" t="n">
        <x:v>0</x:v>
      </x:c>
      <x:c r="AL21" t="n">
        <x:v>2430</x:v>
      </x:c>
      <x:c r="AM21" s="4" t="n">
        <x:f aca="0">SUM(AH21:AL21)</x:f>
        <x:v>7857</x:v>
      </x:c>
      <x:c r="AN21" s="4" t="n">
        <x:f aca="0">AB21+AG21+AM21</x:f>
        <x:v>7857</x:v>
      </x:c>
    </x:row>
    <x:row r="22" ht="15" hidden="0" customHeight="1">
      <x:c r="A22" s="2" t="s">
        <x:v>64</x:v>
      </x:c>
      <x:c r="C22" s="6" t="n">
        <x:v>0</x:v>
      </x:c>
      <x:c r="D22" s="6" t="n">
        <x:v>0</x:v>
      </x:c>
      <x:c r="E22" s="6" t="n">
        <x:v>0</x:v>
      </x:c>
      <x:c r="F22" s="6" t="n">
        <x:v>0</x:v>
      </x:c>
      <x:c r="G22" s="6" t="n">
        <x:v>0</x:v>
      </x:c>
      <x:c r="H22" s="6" t="n">
        <x:v>0</x:v>
      </x:c>
      <x:c r="I22" s="6" t="n">
        <x:v>0</x:v>
      </x:c>
      <x:c r="J22" s="6" t="n">
        <x:v>0</x:v>
      </x:c>
      <x:c r="K22" s="6" t="n">
        <x:v>0</x:v>
      </x:c>
      <x:c r="L22" s="6" t="n">
        <x:v>0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n">
        <x:v>0</x:v>
      </x:c>
      <x:c r="S22" s="6" t="n">
        <x:v>0</x:v>
      </x:c>
      <x:c r="T22" s="6" t="n">
        <x:v>0</x:v>
      </x:c>
      <x:c r="U22" s="6" t="n">
        <x:v>0</x:v>
      </x:c>
      <x:c r="V22" s="6" t="n">
        <x:v>0</x:v>
      </x:c>
      <x:c r="W22" s="6" t="n">
        <x:v>0</x:v>
      </x:c>
      <x:c r="X22" s="6" t="n">
        <x:v>0</x:v>
      </x:c>
      <x:c r="Y22" s="6" t="n">
        <x:v>0</x:v>
      </x:c>
      <x:c r="Z22" s="6" t="n">
        <x:v>0</x:v>
      </x:c>
      <x:c r="AA22" s="6" t="n">
        <x:v>0</x:v>
      </x:c>
      <x:c r="AB22" s="6" t="n">
        <x:f>SUM(C22:AA22)</x:f>
        <x:v>0</x:v>
      </x:c>
      <x:c r="AC22" s="6" t="n">
        <x:v>0</x:v>
      </x:c>
      <x:c r="AD22" s="6" t="n">
        <x:v>0</x:v>
      </x:c>
      <x:c r="AE22" s="6" t="n">
        <x:v>0</x:v>
      </x:c>
      <x:c r="AF22" s="6" t="n">
        <x:v>0</x:v>
      </x:c>
      <x:c r="AG22" s="6" t="n">
        <x:f aca="0">SUM(AC22:AF22)</x:f>
        <x:v>0</x:v>
      </x:c>
      <x:c r="AH22" s="6" t="n">
        <x:v>13725</x:v>
      </x:c>
      <x:c r="AI22" s="6" t="n">
        <x:v>29280</x:v>
      </x:c>
      <x:c r="AJ22" s="6" t="n">
        <x:v>18300</x:v>
      </x:c>
      <x:c r="AK22" s="6" t="n">
        <x:v>25620</x:v>
      </x:c>
      <x:c r="AL22" t="n">
        <x:v>27450</x:v>
      </x:c>
      <x:c r="AM22" s="4" t="n">
        <x:f aca="0">SUM(AH22:AL22)</x:f>
        <x:v>114375</x:v>
      </x:c>
      <x:c r="AN22" s="4" t="n">
        <x:f aca="0">AB22+AG22+AM22</x:f>
        <x:v>114375</x:v>
      </x:c>
    </x:row>
    <x:row r="23" ht="15" hidden="0" customHeight="1">
      <x:c r="A23" s="2" t="s">
        <x:v>65</x:v>
      </x:c>
      <x:c r="C23" s="6" t="n">
        <x:v>0</x:v>
      </x:c>
      <x:c r="D23" s="6" t="n">
        <x:v>0</x:v>
      </x:c>
      <x:c r="E23" s="6" t="n">
        <x:v>0</x:v>
      </x:c>
      <x:c r="F23" s="6" t="n">
        <x:v>0</x:v>
      </x:c>
      <x:c r="G23" s="6" t="n">
        <x:v>0</x:v>
      </x:c>
      <x:c r="H23" s="6" t="n">
        <x:v>0</x:v>
      </x:c>
      <x:c r="I23" s="6" t="n">
        <x:v>0</x:v>
      </x:c>
      <x:c r="J23" s="6" t="n">
        <x:v>0</x:v>
      </x:c>
      <x:c r="K23" s="6" t="n">
        <x:v>0</x:v>
      </x:c>
      <x:c r="L23" s="6" t="n">
        <x:v>0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n">
        <x:v>0</x:v>
      </x:c>
      <x:c r="S23" s="6" t="n">
        <x:v>0</x:v>
      </x:c>
      <x:c r="T23" s="6" t="n">
        <x:v>0</x:v>
      </x:c>
      <x:c r="U23" s="6" t="n">
        <x:v>0</x:v>
      </x:c>
      <x:c r="V23" s="6" t="n">
        <x:v>0</x:v>
      </x:c>
      <x:c r="W23" s="6" t="n">
        <x:v>0</x:v>
      </x:c>
      <x:c r="X23" s="6" t="n">
        <x:v>0</x:v>
      </x:c>
      <x:c r="Y23" s="6" t="n">
        <x:v>0</x:v>
      </x:c>
      <x:c r="Z23" s="6" t="n">
        <x:v>0</x:v>
      </x:c>
      <x:c r="AA23" s="6" t="n">
        <x:v>0</x:v>
      </x:c>
      <x:c r="AB23" s="6" t="n">
        <x:f>SUM(C23:AA23)</x:f>
        <x:v>0</x:v>
      </x:c>
      <x:c r="AC23" s="6" t="n">
        <x:v>0</x:v>
      </x:c>
      <x:c r="AD23" s="6" t="n">
        <x:v>0</x:v>
      </x:c>
      <x:c r="AE23" s="6" t="n">
        <x:v>0</x:v>
      </x:c>
      <x:c r="AF23" s="6" t="n">
        <x:v>0</x:v>
      </x:c>
      <x:c r="AG23" s="6" t="n">
        <x:f aca="0">SUM(AC23:AF23)</x:f>
        <x:v>0</x:v>
      </x:c>
      <x:c r="AH23" s="6" t="n">
        <x:v>0</x:v>
      </x:c>
      <x:c r="AI23" s="6" t="n">
        <x:v>1651</x:v>
      </x:c>
      <x:c r="AJ23" s="6" t="n">
        <x:v>1030</x:v>
      </x:c>
      <x:c r="AK23" s="6" t="n">
        <x:v>1580</x:v>
      </x:c>
      <x:c r="AL23" t="n">
        <x:v>1574</x:v>
      </x:c>
      <x:c r="AM23" s="4" t="n">
        <x:f aca="0">SUM(AH23:AL23)</x:f>
        <x:v>5835</x:v>
      </x:c>
      <x:c r="AN23" s="4" t="n">
        <x:f aca="0">AB23+AG23+AM23</x:f>
        <x:v>5835</x:v>
      </x:c>
    </x:row>
    <x:row r="24" ht="15" hidden="0" customHeight="1">
      <x:c r="A24" s="2" t="s">
        <x:v>66</x:v>
      </x:c>
      <x:c r="C24" s="6" t="n">
        <x:f aca="0">SUM(C19:C23)</x:f>
        <x:v>0</x:v>
      </x:c>
      <x:c r="D24" s="6" t="n">
        <x:f aca="0">SUM(D19:D23)</x:f>
        <x:v>0</x:v>
      </x:c>
      <x:c r="E24" s="6" t="n">
        <x:f aca="0">SUM(E19:E23)</x:f>
        <x:v>0</x:v>
      </x:c>
      <x:c r="F24" s="6" t="n">
        <x:f aca="0">SUM(F19:F23)</x:f>
        <x:v>0</x:v>
      </x:c>
      <x:c r="G24" s="6" t="n">
        <x:f aca="0">SUM(G19:G23)</x:f>
        <x:v>0</x:v>
      </x:c>
      <x:c r="H24" s="6" t="n">
        <x:f aca="0">SUM(H19:H23)</x:f>
        <x:v>0</x:v>
      </x:c>
      <x:c r="I24" s="6" t="n">
        <x:f aca="0">SUM(I19:I23)</x:f>
        <x:v>0</x:v>
      </x:c>
      <x:c r="J24" s="6" t="n">
        <x:f aca="0">SUM(J19:J23)</x:f>
        <x:v>0</x:v>
      </x:c>
      <x:c r="K24" s="6" t="n">
        <x:f aca="0">SUM(K19:K23)</x:f>
        <x:v>0</x:v>
      </x:c>
      <x:c r="L24" s="6" t="n">
        <x:f aca="0">SUM(L19:L23)</x:f>
        <x:v>0</x:v>
      </x:c>
      <x:c r="M24" s="6" t="n">
        <x:f aca="0">SUM(M19:M23)</x:f>
        <x:v>0</x:v>
      </x:c>
      <x:c r="N24" s="6" t="n">
        <x:f aca="0">SUM(N19:N23)</x:f>
        <x:v>0</x:v>
      </x:c>
      <x:c r="O24" s="6" t="n">
        <x:f aca="0">SUM(O19:O23)</x:f>
        <x:v>0</x:v>
      </x:c>
      <x:c r="P24" s="6" t="n">
        <x:f aca="0">SUM(P19:P23)</x:f>
        <x:v>0</x:v>
      </x:c>
      <x:c r="Q24" s="6" t="n">
        <x:f aca="0">SUM(Q19:Q23)</x:f>
        <x:v>0</x:v>
      </x:c>
      <x:c r="R24" s="6" t="n">
        <x:f aca="0">SUM(R19:R23)</x:f>
        <x:v>0</x:v>
      </x:c>
      <x:c r="S24" s="6" t="n">
        <x:f aca="0">SUM(S19:S23)</x:f>
        <x:v>0</x:v>
      </x:c>
      <x:c r="T24" s="6" t="n">
        <x:f aca="0">SUM(T19:T23)</x:f>
        <x:v>0</x:v>
      </x:c>
      <x:c r="U24" s="6" t="n">
        <x:f aca="0">SUM(U19:U23)</x:f>
        <x:v>0</x:v>
      </x:c>
      <x:c r="V24" s="6" t="n">
        <x:f aca="0">SUM(V19:V23)</x:f>
        <x:v>0</x:v>
      </x:c>
      <x:c r="W24" s="6" t="n">
        <x:f aca="0">SUM(W19:W23)</x:f>
        <x:v>0</x:v>
      </x:c>
      <x:c r="X24" s="6" t="n">
        <x:f aca="0">SUM(X19:X23)</x:f>
        <x:v>0</x:v>
      </x:c>
      <x:c r="Y24" s="6" t="n">
        <x:f aca="0">SUM(Y19:Y23)</x:f>
        <x:v>0</x:v>
      </x:c>
      <x:c r="Z24" s="6" t="n">
        <x:f aca="0">SUM(Z19:Z23)</x:f>
        <x:v>0</x:v>
      </x:c>
      <x:c r="AA24" s="6" t="n">
        <x:f aca="0">SUM(AA19:AA23)</x:f>
        <x:v>0</x:v>
      </x:c>
      <x:c r="AB24" s="6" t="n">
        <x:f aca="0">SUM(C24:AA24)</x:f>
        <x:v>0</x:v>
      </x:c>
      <x:c r="AC24" s="6" t="n">
        <x:f aca="0">SUM(AC19:AC23)</x:f>
        <x:v>0</x:v>
      </x:c>
      <x:c r="AD24" s="6" t="n">
        <x:f aca="0">SUM(AD19:AD23)</x:f>
        <x:v>0</x:v>
      </x:c>
      <x:c r="AE24" s="6" t="n">
        <x:f aca="0">SUM(AE19:AE23)</x:f>
        <x:v>0</x:v>
      </x:c>
      <x:c r="AF24" s="6" t="n">
        <x:f aca="0">SUM(AF19:AF23)</x:f>
        <x:v>0</x:v>
      </x:c>
      <x:c r="AG24" s="6" t="n">
        <x:f aca="0">SUM(AC24:AF24)</x:f>
        <x:v>0</x:v>
      </x:c>
      <x:c r="AH24" s="6" t="n">
        <x:f aca="0">SUM(AH19:AH23)</x:f>
        <x:v>22552</x:v>
      </x:c>
      <x:c r="AI24" s="6" t="n">
        <x:f aca="0">SUM(AI19:AI23)</x:f>
        <x:v>49763</x:v>
      </x:c>
      <x:c r="AJ24" s="6" t="n">
        <x:f aca="0">SUM(AJ19:AJ23)</x:f>
        <x:v>31100</x:v>
      </x:c>
      <x:c r="AK24" s="6" t="n">
        <x:f aca="0">SUM(AK19:AK23)</x:f>
        <x:v>41410</x:v>
      </x:c>
      <x:c r="AL24" s="4" t="n">
        <x:f aca="0">SUM(AL19:AL23)</x:f>
        <x:v>46679</x:v>
      </x:c>
      <x:c r="AM24" s="4" t="n">
        <x:f aca="0">SUM(AH24:AL24)</x:f>
        <x:v>191504</x:v>
      </x:c>
      <x:c r="AN24" s="4" t="n">
        <x:f aca="0">AB24+AG24+AM24</x:f>
        <x:v>191504</x:v>
      </x:c>
    </x:row>
    <x:row r="25" ht="15" hidden="0" customHeight="1">
      <x:c r="A25" s="2" t="s">
        <x:v>67</x:v>
      </x:c>
      <x:c r="C25" s="6" t="n">
        <x:f aca="0">C16-C24</x:f>
        <x:v>16537</x:v>
      </x:c>
      <x:c r="D25" s="6" t="n">
        <x:f aca="0">D16-D24</x:f>
        <x:v>61555</x:v>
      </x:c>
      <x:c r="E25" s="6" t="n">
        <x:f aca="0">E16-E24</x:f>
        <x:v>40577</x:v>
      </x:c>
      <x:c r="F25" s="6" t="n">
        <x:f aca="0">F16-F24</x:f>
        <x:v>43103</x:v>
      </x:c>
      <x:c r="G25" s="6" t="n">
        <x:f aca="0">G16-G24</x:f>
        <x:v>30012</x:v>
      </x:c>
      <x:c r="H25" s="6" t="n">
        <x:f aca="0">H16-H24</x:f>
        <x:v>93406</x:v>
      </x:c>
      <x:c r="I25" s="6" t="n">
        <x:f aca="0">I16-I24</x:f>
        <x:v>30624</x:v>
      </x:c>
      <x:c r="J25" s="6" t="n">
        <x:f aca="0">J16-J24</x:f>
        <x:v>21641</x:v>
      </x:c>
      <x:c r="K25" s="6" t="n">
        <x:f aca="0">K16-K24</x:f>
        <x:v>47979</x:v>
      </x:c>
      <x:c r="L25" s="6" t="n">
        <x:f aca="0">L16-L24</x:f>
        <x:v>49204</x:v>
      </x:c>
      <x:c r="M25" s="6" t="n">
        <x:f aca="0">M16-M24</x:f>
        <x:v>105558</x:v>
      </x:c>
      <x:c r="N25" s="6" t="n">
        <x:f aca="0">N16-N24</x:f>
        <x:v>7350</x:v>
      </x:c>
      <x:c r="O25" s="6" t="n">
        <x:f aca="0">O16-O24</x:f>
        <x:v>26485</x:v>
      </x:c>
      <x:c r="P25" s="6" t="n">
        <x:f aca="0">P16-P24</x:f>
        <x:v>18027</x:v>
      </x:c>
      <x:c r="Q25" s="6" t="n">
        <x:f aca="0">Q16-Q24</x:f>
        <x:v>6839</x:v>
      </x:c>
      <x:c r="R25" s="6" t="n">
        <x:f aca="0">R16-R24</x:f>
        <x:v>38545</x:v>
      </x:c>
      <x:c r="S25" s="6" t="n">
        <x:f aca="0">S16-S24</x:f>
        <x:v>29894</x:v>
      </x:c>
      <x:c r="T25" s="6" t="n">
        <x:f aca="0">T16-T24</x:f>
        <x:v>52689</x:v>
      </x:c>
      <x:c r="U25" s="6" t="n">
        <x:f aca="0">U16-U24</x:f>
        <x:v>17395</x:v>
      </x:c>
      <x:c r="V25" s="6" t="n">
        <x:f aca="0">V16-V24</x:f>
        <x:v>9579</x:v>
      </x:c>
      <x:c r="W25" s="6" t="n">
        <x:f aca="0">W16-W24</x:f>
        <x:v>30899</x:v>
      </x:c>
      <x:c r="X25" s="6" t="n">
        <x:f aca="0">X16-X24</x:f>
        <x:v>32564</x:v>
      </x:c>
      <x:c r="Y25" s="6" t="n">
        <x:f aca="0">Y16-Y24</x:f>
        <x:v>14107</x:v>
      </x:c>
      <x:c r="Z25" s="6" t="n">
        <x:f aca="0">Z16-Z24</x:f>
        <x:v>25892</x:v>
      </x:c>
      <x:c r="AA25" s="6" t="n">
        <x:f aca="0">AA16-AA24</x:f>
        <x:v>35192</x:v>
      </x:c>
      <x:c r="AB25" s="6" t="n">
        <x:f aca="0">SUM(C25:AA25)</x:f>
        <x:v>885653</x:v>
      </x:c>
      <x:c r="AC25" s="6" t="n">
        <x:f aca="0">AC16-AC24</x:f>
        <x:v>43685</x:v>
      </x:c>
      <x:c r="AD25" s="6" t="n">
        <x:f aca="0">AD16-AD24</x:f>
        <x:v>42379</x:v>
      </x:c>
      <x:c r="AE25" s="6" t="n">
        <x:f aca="0">AE16-AE24</x:f>
        <x:v>77875</x:v>
      </x:c>
      <x:c r="AF25" s="6" t="n">
        <x:f aca="0">AF16-AF24</x:f>
        <x:v>40554</x:v>
      </x:c>
      <x:c r="AG25" s="6" t="n">
        <x:f aca="0">SUM(AC25:AF25)</x:f>
        <x:v>204493</x:v>
      </x:c>
      <x:c r="AH25" s="6" t="n">
        <x:f aca="0">AH16-AH24</x:f>
        <x:v>127448</x:v>
      </x:c>
      <x:c r="AI25" s="6" t="n">
        <x:f aca="0">AI16-AI24</x:f>
        <x:v>264931</x:v>
      </x:c>
      <x:c r="AJ25" s="6" t="n">
        <x:f aca="0">AJ16-AJ24</x:f>
        <x:v>174900</x:v>
      </x:c>
      <x:c r="AK25" s="6" t="n">
        <x:f aca="0">AK16-AK24</x:f>
        <x:v>264576</x:v>
      </x:c>
      <x:c r="AL25" s="4" t="n">
        <x:f aca="0">AL16-AL24</x:f>
        <x:v>262321</x:v>
      </x:c>
      <x:c r="AM25" s="4" t="n">
        <x:f aca="0">SUM(AH25:AL25)</x:f>
        <x:v>1094176</x:v>
      </x:c>
      <x:c r="AN25" s="4" t="n">
        <x:f aca="0">AB25+AG25+AM25</x:f>
        <x:v>2184322</x:v>
      </x:c>
    </x:row>
    <x:row r="26" ht="15" hidden="0" customHeight="1">
      <x:c r="A26" s="2" t="s">
        <x:v>68</x:v>
      </x:c>
      <x:c r="C26" s="6" t="n">
        <x:v>0</x:v>
      </x:c>
      <x:c r="D26" s="6" t="n">
        <x:v>0</x:v>
      </x:c>
      <x:c r="E26" s="6" t="n">
        <x:v>0</x:v>
      </x:c>
      <x:c r="F26" s="6" t="n">
        <x:v>0</x:v>
      </x:c>
      <x:c r="G26" s="6" t="n">
        <x:v>0</x:v>
      </x:c>
      <x:c r="H26" s="6" t="n">
        <x:v>0</x:v>
      </x:c>
      <x:c r="I26" s="6" t="n">
        <x:v>0</x:v>
      </x:c>
      <x:c r="J26" s="6" t="n">
        <x:v>0</x:v>
      </x:c>
      <x:c r="K26" s="6" t="n">
        <x:v>0</x:v>
      </x:c>
      <x:c r="L26" s="6" t="n">
        <x:v>0</x:v>
      </x:c>
      <x:c r="M26" s="6" t="n">
        <x:v>170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n">
        <x:v>0</x:v>
      </x:c>
      <x:c r="S26" s="6" t="n">
        <x:v>0</x:v>
      </x:c>
      <x:c r="T26" s="6" t="n">
        <x:v>0</x:v>
      </x:c>
      <x:c r="U26" s="6" t="n">
        <x:v>0</x:v>
      </x:c>
      <x:c r="V26" s="6" t="n">
        <x:v>0</x:v>
      </x:c>
      <x:c r="W26" s="6" t="n">
        <x:v>0</x:v>
      </x:c>
      <x:c r="X26" s="6" t="n">
        <x:v>0</x:v>
      </x:c>
      <x:c r="Y26" s="6" t="n">
        <x:v>0</x:v>
      </x:c>
      <x:c r="Z26" s="6" t="n">
        <x:v>0</x:v>
      </x:c>
      <x:c r="AA26" s="6" t="n">
        <x:v>0</x:v>
      </x:c>
      <x:c r="AB26" s="6" t="n">
        <x:f aca="0">SUM(C26:AA26)</x:f>
        <x:v>170</x:v>
      </x:c>
      <x:c r="AC26" s="6" t="n">
        <x:v>0</x:v>
      </x:c>
      <x:c r="AD26" s="6" t="n">
        <x:v>0</x:v>
      </x:c>
      <x:c r="AE26" s="6" t="n">
        <x:v>0</x:v>
      </x:c>
      <x:c r="AF26" s="6" t="n">
        <x:v>0</x:v>
      </x:c>
      <x:c r="AG26" s="6" t="n">
        <x:f aca="0">SUM(AC26:AF26)</x:f>
        <x:v>0</x:v>
      </x:c>
      <x:c r="AH26" s="6" t="n">
        <x:v>1300</x:v>
      </x:c>
      <x:c r="AI26" s="6" t="n">
        <x:v>6650</x:v>
      </x:c>
      <x:c r="AJ26" s="6" t="n">
        <x:v>3410</x:v>
      </x:c>
      <x:c r="AK26" s="6" t="n">
        <x:v>6650</x:v>
      </x:c>
      <x:c r="AL26" t="n">
        <x:v>6530</x:v>
      </x:c>
      <x:c r="AM26" s="4" t="n">
        <x:f aca="0">SUM(AH26:AL26)</x:f>
        <x:v>24540</x:v>
      </x:c>
      <x:c r="AN26" s="4" t="n">
        <x:f aca="0">AB26+AG26+AM26</x:f>
        <x:v>24710</x:v>
      </x:c>
    </x:row>
    <x:row r="27" ht="15" hidden="0" customHeight="1">
      <x:c r="A27" s="2" t="s">
        <x:v>69</x:v>
      </x:c>
      <x:c r="C27" s="6" t="n">
        <x:v>0</x:v>
      </x:c>
      <x:c r="D27" s="6" t="n">
        <x:v>0</x:v>
      </x:c>
      <x:c r="E27" s="6" t="n">
        <x:v>0</x:v>
      </x:c>
      <x:c r="F27" s="6" t="n">
        <x:v>0</x:v>
      </x:c>
      <x:c r="G27" s="6" t="n">
        <x:v>0</x:v>
      </x:c>
      <x:c r="H27" s="6" t="n">
        <x:v>0</x:v>
      </x:c>
      <x:c r="I27" s="6" t="n">
        <x:v>0</x:v>
      </x:c>
      <x:c r="J27" s="6" t="n">
        <x:v>0</x:v>
      </x:c>
      <x:c r="K27" s="6" t="n">
        <x:v>0</x:v>
      </x:c>
      <x:c r="L27" s="6" t="n">
        <x:v>0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n">
        <x:v>0</x:v>
      </x:c>
      <x:c r="S27" s="6" t="n">
        <x:v>0</x:v>
      </x:c>
      <x:c r="T27" s="6" t="n">
        <x:v>0</x:v>
      </x:c>
      <x:c r="U27" s="6" t="n">
        <x:v>0</x:v>
      </x:c>
      <x:c r="V27" s="6" t="n">
        <x:v>0</x:v>
      </x:c>
      <x:c r="W27" s="6" t="n">
        <x:v>0</x:v>
      </x:c>
      <x:c r="X27" s="6" t="n">
        <x:v>0</x:v>
      </x:c>
      <x:c r="Y27" s="6" t="n">
        <x:v>0</x:v>
      </x:c>
      <x:c r="Z27" s="6" t="n">
        <x:v>0</x:v>
      </x:c>
      <x:c r="AA27" s="6" t="n">
        <x:v>0</x:v>
      </x:c>
      <x:c r="AB27" s="6" t="n">
        <x:f>SUM(C27:AA27)</x:f>
        <x:v>0</x:v>
      </x:c>
      <x:c r="AC27" s="6" t="n">
        <x:v>0</x:v>
      </x:c>
      <x:c r="AD27" s="6" t="n">
        <x:v>0</x:v>
      </x:c>
      <x:c r="AE27" s="6" t="n">
        <x:v>0</x:v>
      </x:c>
      <x:c r="AF27" s="6" t="n">
        <x:v>0</x:v>
      </x:c>
      <x:c r="AG27" s="6" t="n">
        <x:f aca="0">SUM(AC27:AF27)</x:f>
        <x:v>0</x:v>
      </x:c>
      <x:c r="AH27" s="6" t="n">
        <x:v>12600</x:v>
      </x:c>
      <x:c r="AI27" s="6" t="n">
        <x:v>10000</x:v>
      </x:c>
      <x:c r="AJ27" s="6" t="n">
        <x:v>0</x:v>
      </x:c>
      <x:c r="AK27" s="6" t="n">
        <x:v>10000</x:v>
      </x:c>
      <x:c r="AL27" t="n">
        <x:v>12300</x:v>
      </x:c>
      <x:c r="AM27" s="4" t="n">
        <x:f aca="0">SUM(AH27:AL27)</x:f>
        <x:v>44900</x:v>
      </x:c>
      <x:c r="AN27" s="4" t="n">
        <x:f aca="0">AB27+AG27+AM27</x:f>
        <x:v>44900</x:v>
      </x:c>
    </x:row>
    <x:row r="28" ht="15" hidden="0" customHeight="1">
      <x:c r="A28" s="2" t="s">
        <x:v>70</x:v>
      </x:c>
      <x:c r="C28" s="6" t="n">
        <x:v>0</x:v>
      </x:c>
      <x:c r="D28" s="6" t="n">
        <x:v>0</x:v>
      </x:c>
      <x:c r="E28" s="6" t="n">
        <x:v>0</x:v>
      </x:c>
      <x:c r="F28" s="6" t="n">
        <x:v>0</x:v>
      </x:c>
      <x:c r="G28" s="6" t="n">
        <x:v>0</x:v>
      </x:c>
      <x:c r="H28" s="6" t="n">
        <x:v>0</x:v>
      </x:c>
      <x:c r="I28" s="6" t="n">
        <x:v>0</x:v>
      </x:c>
      <x:c r="J28" s="6" t="n">
        <x:v>0</x:v>
      </x:c>
      <x:c r="K28" s="6" t="n">
        <x:v>0</x:v>
      </x:c>
      <x:c r="L28" s="6" t="n">
        <x:v>0</x:v>
      </x:c>
      <x:c r="M28" s="6" t="n">
        <x:v>0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n">
        <x:v>0</x:v>
      </x:c>
      <x:c r="S28" s="6" t="n">
        <x:v>0</x:v>
      </x:c>
      <x:c r="T28" s="6" t="n">
        <x:v>0</x:v>
      </x:c>
      <x:c r="U28" s="6" t="n">
        <x:v>0</x:v>
      </x:c>
      <x:c r="V28" s="6" t="n">
        <x:v>0</x:v>
      </x:c>
      <x:c r="W28" s="6" t="n">
        <x:v>0</x:v>
      </x:c>
      <x:c r="X28" s="6" t="n">
        <x:v>0</x:v>
      </x:c>
      <x:c r="Y28" s="6" t="n">
        <x:v>0</x:v>
      </x:c>
      <x:c r="Z28" s="6" t="n">
        <x:v>0</x:v>
      </x:c>
      <x:c r="AA28" s="6" t="n">
        <x:v>0</x:v>
      </x:c>
      <x:c r="AB28" s="6" t="n">
        <x:f>SUM(C28:AA28)</x:f>
        <x:v>0</x:v>
      </x:c>
      <x:c r="AC28" s="6" t="n">
        <x:v>0</x:v>
      </x:c>
      <x:c r="AD28" s="6" t="n">
        <x:v>0</x:v>
      </x:c>
      <x:c r="AE28" s="6" t="n">
        <x:v>0</x:v>
      </x:c>
      <x:c r="AF28" s="6" t="n">
        <x:v>0</x:v>
      </x:c>
      <x:c r="AG28" s="6" t="n">
        <x:f aca="0">SUM(AC28:AF28)</x:f>
        <x:v>0</x:v>
      </x:c>
      <x:c r="AH28" s="6" t="n">
        <x:v>0</x:v>
      </x:c>
      <x:c r="AI28" s="6" t="n">
        <x:v>0</x:v>
      </x:c>
      <x:c r="AJ28" s="6" t="n">
        <x:v>0</x:v>
      </x:c>
      <x:c r="AK28" s="6" t="n">
        <x:v>0</x:v>
      </x:c>
      <x:c r="AL28" t="n">
        <x:v>0</x:v>
      </x:c>
      <x:c r="AM28" s="4" t="n">
        <x:f aca="0">SUM(AH28:AL28)</x:f>
        <x:v>0</x:v>
      </x:c>
      <x:c r="AN28" s="4" t="n">
        <x:f aca="0">AB28+AG28+AM28</x:f>
        <x:v>0</x:v>
      </x:c>
    </x:row>
    <x:row r="29" ht="15" hidden="0" customHeight="1">
      <x:c r="A29" s="2" t="s">
        <x:v>71</x:v>
      </x:c>
      <x:c r="C29" s="6" t="n">
        <x:v>0</x:v>
      </x:c>
      <x:c r="D29" s="6" t="n">
        <x:v>0</x:v>
      </x:c>
      <x:c r="E29" s="6" t="n">
        <x:v>0</x:v>
      </x:c>
      <x:c r="F29" s="6" t="n">
        <x:v>0</x:v>
      </x:c>
      <x:c r="G29" s="6" t="n">
        <x:v>0</x:v>
      </x:c>
      <x:c r="H29" s="6" t="n">
        <x:v>0</x:v>
      </x:c>
      <x:c r="I29" s="6" t="n">
        <x:v>0</x:v>
      </x:c>
      <x:c r="J29" s="6" t="n">
        <x:v>0</x:v>
      </x:c>
      <x:c r="K29" s="6" t="n">
        <x:v>0</x:v>
      </x:c>
      <x:c r="L29" s="6" t="n">
        <x:v>0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n">
        <x:v>0</x:v>
      </x:c>
      <x:c r="S29" s="6" t="n">
        <x:v>0</x:v>
      </x:c>
      <x:c r="T29" s="6" t="n">
        <x:v>0</x:v>
      </x:c>
      <x:c r="U29" s="6" t="n">
        <x:v>0</x:v>
      </x:c>
      <x:c r="V29" s="6" t="n">
        <x:v>0</x:v>
      </x:c>
      <x:c r="W29" s="6" t="n">
        <x:v>0</x:v>
      </x:c>
      <x:c r="X29" s="6" t="n">
        <x:v>0</x:v>
      </x:c>
      <x:c r="Y29" s="6" t="n">
        <x:v>0</x:v>
      </x:c>
      <x:c r="Z29" s="6" t="n">
        <x:v>0</x:v>
      </x:c>
      <x:c r="AA29" s="6" t="n">
        <x:v>0</x:v>
      </x:c>
      <x:c r="AB29" s="6" t="n">
        <x:f>SUM(C29:AA29)</x:f>
        <x:v>0</x:v>
      </x:c>
      <x:c r="AC29" s="6" t="n">
        <x:v>0</x:v>
      </x:c>
      <x:c r="AD29" s="6" t="n">
        <x:v>0</x:v>
      </x:c>
      <x:c r="AE29" s="6" t="n">
        <x:v>0</x:v>
      </x:c>
      <x:c r="AF29" s="6" t="n">
        <x:v>0</x:v>
      </x:c>
      <x:c r="AG29" s="6" t="n">
        <x:f aca="0">SUM(AC29:AF29)</x:f>
        <x:v>0</x:v>
      </x:c>
      <x:c r="AH29" s="6" t="n">
        <x:v>0</x:v>
      </x:c>
      <x:c r="AI29" s="6" t="n">
        <x:v>0</x:v>
      </x:c>
      <x:c r="AJ29" s="6" t="n">
        <x:v>0</x:v>
      </x:c>
      <x:c r="AK29" s="6" t="n">
        <x:v>0</x:v>
      </x:c>
      <x:c r="AL29" t="n">
        <x:v>0</x:v>
      </x:c>
      <x:c r="AM29" s="4" t="n">
        <x:f aca="0">SUM(AH29:AL29)</x:f>
        <x:v>0</x:v>
      </x:c>
      <x:c r="AN29" s="4" t="n">
        <x:f aca="0">AB29+AG29+AM29</x:f>
        <x:v>0</x:v>
      </x:c>
    </x:row>
    <x:row r="30" ht="15" hidden="0" customHeight="1">
      <x:c r="A30" s="2" t="s">
        <x:v>72</x:v>
      </x:c>
      <x:c r="C30" s="6" t="n">
        <x:v>0</x:v>
      </x:c>
      <x:c r="D30" s="6" t="n">
        <x:v>0</x:v>
      </x:c>
      <x:c r="E30" s="6" t="n">
        <x:v>0</x:v>
      </x:c>
      <x:c r="F30" s="6" t="n">
        <x:v>0</x:v>
      </x:c>
      <x:c r="G30" s="6" t="n">
        <x:v>0</x:v>
      </x:c>
      <x:c r="H30" s="6" t="n">
        <x:v>0</x:v>
      </x:c>
      <x:c r="I30" s="6" t="n">
        <x:v>0</x:v>
      </x:c>
      <x:c r="J30" s="6" t="n">
        <x:v>0</x:v>
      </x:c>
      <x:c r="K30" s="6" t="n">
        <x:v>0</x:v>
      </x:c>
      <x:c r="L30" s="6" t="n">
        <x:v>0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n">
        <x:v>0</x:v>
      </x:c>
      <x:c r="S30" s="6" t="n">
        <x:v>0</x:v>
      </x:c>
      <x:c r="T30" s="6" t="n">
        <x:v>0</x:v>
      </x:c>
      <x:c r="U30" s="6" t="n">
        <x:v>0</x:v>
      </x:c>
      <x:c r="V30" s="6" t="n">
        <x:v>0</x:v>
      </x:c>
      <x:c r="W30" s="6" t="n">
        <x:v>0</x:v>
      </x:c>
      <x:c r="X30" s="6" t="n">
        <x:v>0</x:v>
      </x:c>
      <x:c r="Y30" s="6" t="n">
        <x:v>0</x:v>
      </x:c>
      <x:c r="Z30" s="6" t="n">
        <x:v>0</x:v>
      </x:c>
      <x:c r="AA30" s="6" t="n">
        <x:v>0</x:v>
      </x:c>
      <x:c r="AB30" s="6" t="n">
        <x:f>SUM(C30:AA30)</x:f>
        <x:v>0</x:v>
      </x:c>
      <x:c r="AC30" s="6" t="n">
        <x:v>0</x:v>
      </x:c>
      <x:c r="AD30" s="6" t="n">
        <x:v>0</x:v>
      </x:c>
      <x:c r="AE30" s="6" t="n">
        <x:v>0</x:v>
      </x:c>
      <x:c r="AF30" s="6" t="n">
        <x:v>0</x:v>
      </x:c>
      <x:c r="AG30" s="6" t="n">
        <x:f aca="0">SUM(AC30:AF30)</x:f>
        <x:v>0</x:v>
      </x:c>
      <x:c r="AH30" s="6" t="n">
        <x:v>-7599</x:v>
      </x:c>
      <x:c r="AI30" s="6" t="n">
        <x:v>0</x:v>
      </x:c>
      <x:c r="AJ30" s="6" t="n">
        <x:v>0</x:v>
      </x:c>
      <x:c r="AK30" s="6" t="n">
        <x:v>0</x:v>
      </x:c>
      <x:c r="AL30" t="n">
        <x:v>0</x:v>
      </x:c>
      <x:c r="AM30" s="4" t="n">
        <x:f aca="0">SUM(AH30:AL30)</x:f>
        <x:v>-7599</x:v>
      </x:c>
      <x:c r="AN30" s="4" t="n">
        <x:f aca="0">AB30+AG30+AM30</x:f>
        <x:v>-7599</x:v>
      </x:c>
    </x:row>
    <x:row r="31" ht="15" hidden="0" customHeight="1">
      <x:c r="A31" s="2" t="s">
        <x:v>73</x:v>
      </x:c>
      <x:c r="C31" s="6" t="n">
        <x:f aca="0">SUM(C24,C26:C30)</x:f>
        <x:v>0</x:v>
      </x:c>
      <x:c r="D31" s="6" t="n">
        <x:f aca="0">SUM(D24,D26:D30)</x:f>
        <x:v>0</x:v>
      </x:c>
      <x:c r="E31" s="6" t="n">
        <x:f aca="0">SUM(E24,E26:E30)</x:f>
        <x:v>0</x:v>
      </x:c>
      <x:c r="F31" s="6" t="n">
        <x:f aca="0">SUM(F24,F26:F30)</x:f>
        <x:v>0</x:v>
      </x:c>
      <x:c r="G31" s="6" t="n">
        <x:f aca="0">SUM(G24,G26:G30)</x:f>
        <x:v>0</x:v>
      </x:c>
      <x:c r="H31" s="6" t="n">
        <x:f aca="0">SUM(H24,H26:H30)</x:f>
        <x:v>0</x:v>
      </x:c>
      <x:c r="I31" s="6" t="n">
        <x:f aca="0">SUM(I24,I26:I30)</x:f>
        <x:v>0</x:v>
      </x:c>
      <x:c r="J31" s="6" t="n">
        <x:f aca="0">SUM(J24,J26:J30)</x:f>
        <x:v>0</x:v>
      </x:c>
      <x:c r="K31" s="6" t="n">
        <x:f aca="0">SUM(K24,K26:K30)</x:f>
        <x:v>0</x:v>
      </x:c>
      <x:c r="L31" s="6" t="n">
        <x:f aca="0">SUM(L24,L26:L30)</x:f>
        <x:v>0</x:v>
      </x:c>
      <x:c r="M31" s="6" t="n">
        <x:f aca="0">SUM(M24,M26:M30)</x:f>
        <x:v>170</x:v>
      </x:c>
      <x:c r="N31" s="6" t="n">
        <x:f aca="0">SUM(N24,N26:N30)</x:f>
        <x:v>0</x:v>
      </x:c>
      <x:c r="O31" s="6" t="n">
        <x:f aca="0">SUM(O24,O26:O30)</x:f>
        <x:v>0</x:v>
      </x:c>
      <x:c r="P31" s="6" t="n">
        <x:f aca="0">SUM(P24,P26:P30)</x:f>
        <x:v>0</x:v>
      </x:c>
      <x:c r="Q31" s="6" t="n">
        <x:f aca="0">SUM(Q24,Q26:Q30)</x:f>
        <x:v>0</x:v>
      </x:c>
      <x:c r="R31" s="6" t="n">
        <x:f aca="0">SUM(R24,R26:R30)</x:f>
        <x:v>0</x:v>
      </x:c>
      <x:c r="S31" s="6" t="n">
        <x:f aca="0">SUM(S24,S26:S30)</x:f>
        <x:v>0</x:v>
      </x:c>
      <x:c r="T31" s="6" t="n">
        <x:f aca="0">SUM(T24,T26:T30)</x:f>
        <x:v>0</x:v>
      </x:c>
      <x:c r="U31" s="6" t="n">
        <x:f aca="0">SUM(U24,U26:U30)</x:f>
        <x:v>0</x:v>
      </x:c>
      <x:c r="V31" s="6" t="n">
        <x:f aca="0">SUM(V24,V26:V30)</x:f>
        <x:v>0</x:v>
      </x:c>
      <x:c r="W31" s="6" t="n">
        <x:f aca="0">SUM(W24,W26:W30)</x:f>
        <x:v>0</x:v>
      </x:c>
      <x:c r="X31" s="6" t="n">
        <x:f aca="0">SUM(X24,X26:X30)</x:f>
        <x:v>0</x:v>
      </x:c>
      <x:c r="Y31" s="6" t="n">
        <x:f aca="0">SUM(Y24,Y26:Y30)</x:f>
        <x:v>0</x:v>
      </x:c>
      <x:c r="Z31" s="6" t="n">
        <x:f aca="0">SUM(Z24,Z26:Z30)</x:f>
        <x:v>0</x:v>
      </x:c>
      <x:c r="AA31" s="6" t="n">
        <x:f aca="0">SUM(AA24,AA26:AA30)</x:f>
        <x:v>0</x:v>
      </x:c>
      <x:c r="AB31" s="6" t="n">
        <x:f aca="0">SUM(C31:AA31)</x:f>
        <x:v>170</x:v>
      </x:c>
      <x:c r="AC31" s="6" t="n">
        <x:f aca="0">SUM(AC24,AC26:AC30)</x:f>
        <x:v>0</x:v>
      </x:c>
      <x:c r="AD31" s="6" t="n">
        <x:f aca="0">SUM(AD24,AD26:AD30)</x:f>
        <x:v>0</x:v>
      </x:c>
      <x:c r="AE31" s="6" t="n">
        <x:f aca="0">SUM(AE24,AE26:AE30)</x:f>
        <x:v>0</x:v>
      </x:c>
      <x:c r="AF31" s="6" t="n">
        <x:f aca="0">SUM(AF24,AF26:AF30)</x:f>
        <x:v>0</x:v>
      </x:c>
      <x:c r="AG31" s="6" t="n">
        <x:f aca="0">SUM(AC31:AF31)</x:f>
        <x:v>0</x:v>
      </x:c>
      <x:c r="AH31" s="6" t="n">
        <x:f aca="0">SUM(AH24,AH26:AH30)</x:f>
        <x:v>28853</x:v>
      </x:c>
      <x:c r="AI31" s="6" t="n">
        <x:f aca="0">SUM(AI24,AI26:AI30)</x:f>
        <x:v>66413</x:v>
      </x:c>
      <x:c r="AJ31" s="6" t="n">
        <x:f aca="0">SUM(AJ24,AJ26:AJ30)</x:f>
        <x:v>34510</x:v>
      </x:c>
      <x:c r="AK31" s="6" t="n">
        <x:f aca="0">SUM(AK24,AK26:AK30)</x:f>
        <x:v>58060</x:v>
      </x:c>
      <x:c r="AL31" s="4" t="n">
        <x:f aca="0">SUM(AL24,AL26:AL30)</x:f>
        <x:v>65509</x:v>
      </x:c>
      <x:c r="AM31" s="4" t="n">
        <x:f aca="0">SUM(AH31:AL31)</x:f>
        <x:v>253345</x:v>
      </x:c>
      <x:c r="AN31" s="4" t="n">
        <x:f aca="0">AB31+AG31+AM31</x:f>
        <x:v>253515</x:v>
      </x:c>
    </x:row>
    <x:row r="32" ht="15" hidden="0" customHeight="1">
      <x:c r="A32" s="2" t="s">
        <x:v>74</x:v>
      </x:c>
      <x:c r="C32" s="6" t="n">
        <x:v>0</x:v>
      </x:c>
      <x:c r="D32" s="6" t="n">
        <x:v>0</x:v>
      </x:c>
      <x:c r="E32" s="6" t="n">
        <x:v>0</x:v>
      </x:c>
      <x:c r="F32" s="6" t="n">
        <x:v>0</x:v>
      </x:c>
      <x:c r="G32" s="6" t="n">
        <x:v>0</x:v>
      </x:c>
      <x:c r="H32" s="6" t="n">
        <x:v>0</x:v>
      </x:c>
      <x:c r="I32" s="6" t="n">
        <x:v>0</x:v>
      </x:c>
      <x:c r="J32" s="6" t="n">
        <x:v>0</x:v>
      </x:c>
      <x:c r="K32" s="6" t="n">
        <x:v>0</x:v>
      </x:c>
      <x:c r="L32" s="6" t="n">
        <x:v>0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n">
        <x:v>0</x:v>
      </x:c>
      <x:c r="S32" s="6" t="n">
        <x:v>0</x:v>
      </x:c>
      <x:c r="T32" s="6" t="n">
        <x:v>0</x:v>
      </x:c>
      <x:c r="U32" s="6" t="n">
        <x:v>0</x:v>
      </x:c>
      <x:c r="V32" s="6" t="n">
        <x:v>0</x:v>
      </x:c>
      <x:c r="W32" s="6" t="n">
        <x:v>0</x:v>
      </x:c>
      <x:c r="X32" s="6" t="n">
        <x:v>0</x:v>
      </x:c>
      <x:c r="Y32" s="6" t="n">
        <x:v>0</x:v>
      </x:c>
      <x:c r="Z32" s="6" t="n">
        <x:v>0</x:v>
      </x:c>
      <x:c r="AA32" s="6" t="n">
        <x:v>0</x:v>
      </x:c>
      <x:c r="AB32" s="6" t="n">
        <x:f>SUM(C32:AA32)</x:f>
        <x:v>0</x:v>
      </x:c>
      <x:c r="AC32" s="6" t="n">
        <x:v>0</x:v>
      </x:c>
      <x:c r="AD32" s="6" t="n">
        <x:v>0</x:v>
      </x:c>
      <x:c r="AE32" s="6" t="n">
        <x:v>0</x:v>
      </x:c>
      <x:c r="AF32" s="6" t="n">
        <x:v>0</x:v>
      </x:c>
      <x:c r="AG32" s="6" t="n">
        <x:f>SUM(AC32:AF32)</x:f>
        <x:v>0</x:v>
      </x:c>
      <x:c r="AH32" s="6" t="n">
        <x:v>0</x:v>
      </x:c>
      <x:c r="AI32" s="6" t="n">
        <x:v>0</x:v>
      </x:c>
      <x:c r="AJ32" s="6" t="n">
        <x:v>0</x:v>
      </x:c>
      <x:c r="AK32" s="6" t="n">
        <x:v>0</x:v>
      </x:c>
      <x:c r="AL32" t="n">
        <x:v>0</x:v>
      </x:c>
      <x:c r="AM32" t="n">
        <x:f>SUM(AH32:AL32)</x:f>
        <x:v>0</x:v>
      </x:c>
      <x:c r="AN32" t="n">
        <x:f>AB32+AG32+AM32</x:f>
        <x:v>0</x:v>
      </x:c>
    </x:row>
    <x:row r="33" ht="15" hidden="0" customHeight="1">
      <x:c r="A33" s="2" t="s">
        <x:v>75</x:v>
      </x:c>
      <x:c r="C33" s="6" t="n">
        <x:f aca="0">C18-C31+C32</x:f>
        <x:v>18177</x:v>
      </x:c>
      <x:c r="D33" s="6" t="n">
        <x:f aca="0">D18-D31+D32</x:f>
        <x:v>64561</x:v>
      </x:c>
      <x:c r="E33" s="6" t="n">
        <x:f aca="0">E18-E31+E32</x:f>
        <x:v>42581</x:v>
      </x:c>
      <x:c r="F33" s="6" t="n">
        <x:f aca="0">F18-F31+F32</x:f>
        <x:v>46883</x:v>
      </x:c>
      <x:c r="G33" s="6" t="n">
        <x:f aca="0">G18-G31+G32</x:f>
        <x:v>31812</x:v>
      </x:c>
      <x:c r="H33" s="6" t="n">
        <x:f aca="0">H18-H31+H32</x:f>
        <x:v>97306</x:v>
      </x:c>
      <x:c r="I33" s="6" t="n">
        <x:f aca="0">I18-I31+I32</x:f>
        <x:v>32864</x:v>
      </x:c>
      <x:c r="J33" s="6" t="n">
        <x:f aca="0">J18-J31+J32</x:f>
        <x:v>21641</x:v>
      </x:c>
      <x:c r="K33" s="6" t="n">
        <x:f aca="0">K18-K31+K32</x:f>
        <x:v>51059</x:v>
      </x:c>
      <x:c r="L33" s="6" t="n">
        <x:f aca="0">L18-L31+L32</x:f>
        <x:v>52284</x:v>
      </x:c>
      <x:c r="M33" s="6" t="n">
        <x:f aca="0">M18-M31+M32</x:f>
        <x:v>110732</x:v>
      </x:c>
      <x:c r="N33" s="6" t="n">
        <x:f aca="0">N18-N31+N32</x:f>
        <x:v>7664</x:v>
      </x:c>
      <x:c r="O33" s="6" t="n">
        <x:f aca="0">O18-O31+O32</x:f>
        <x:v>31069</x:v>
      </x:c>
      <x:c r="P33" s="6" t="n">
        <x:f aca="0">P18-P31+P32</x:f>
        <x:v>18027</x:v>
      </x:c>
      <x:c r="Q33" s="6" t="n">
        <x:f aca="0">Q18-Q31+Q32</x:f>
        <x:v>6839</x:v>
      </x:c>
      <x:c r="R33" s="6" t="n">
        <x:f aca="0">R18-R31+R32</x:f>
        <x:v>38545</x:v>
      </x:c>
      <x:c r="S33" s="6" t="n">
        <x:f aca="0">S18-S31+S32</x:f>
        <x:v>29894</x:v>
      </x:c>
      <x:c r="T33" s="6" t="n">
        <x:f aca="0">T18-T31+T32</x:f>
        <x:v>52689</x:v>
      </x:c>
      <x:c r="U33" s="6" t="n">
        <x:f aca="0">U18-U31+U32</x:f>
        <x:v>17395</x:v>
      </x:c>
      <x:c r="V33" s="6" t="n">
        <x:f aca="0">V18-V31+V32</x:f>
        <x:v>9579</x:v>
      </x:c>
      <x:c r="W33" s="6" t="n">
        <x:f aca="0">W18-W31+W32</x:f>
        <x:v>30899</x:v>
      </x:c>
      <x:c r="X33" s="6" t="n">
        <x:f aca="0">X18-X31+X32</x:f>
        <x:v>32564</x:v>
      </x:c>
      <x:c r="Y33" s="6" t="n">
        <x:f aca="0">Y18-Y31+Y32</x:f>
        <x:v>14107</x:v>
      </x:c>
      <x:c r="Z33" s="6" t="n">
        <x:f aca="0">Z18-Z31+Z32</x:f>
        <x:v>25892</x:v>
      </x:c>
      <x:c r="AA33" s="6" t="n">
        <x:f aca="0">AA18-AA31+AA32</x:f>
        <x:v>41856</x:v>
      </x:c>
      <x:c r="AB33" s="6" t="n">
        <x:f aca="0">SUM(C33:AA33)</x:f>
        <x:v>926919</x:v>
      </x:c>
      <x:c r="AC33" s="6" t="n">
        <x:f aca="0">AC18-AC31+AC32</x:f>
        <x:v>47505</x:v>
      </x:c>
      <x:c r="AD33" s="6" t="n">
        <x:f aca="0">AD18-AD31+AD32</x:f>
        <x:v>47153</x:v>
      </x:c>
      <x:c r="AE33" s="6" t="n">
        <x:f aca="0">AE18-AE31+AE32</x:f>
        <x:v>86975</x:v>
      </x:c>
      <x:c r="AF33" s="6" t="n">
        <x:f aca="0">AF18-AF31+AF32</x:f>
        <x:v>44664</x:v>
      </x:c>
      <x:c r="AG33" s="6" t="n">
        <x:f aca="0">SUM(AC33:AF33)</x:f>
        <x:v>226297</x:v>
      </x:c>
      <x:c r="AH33" s="6" t="n">
        <x:f aca="0">AH18-AH31+AH32</x:f>
        <x:v>121147</x:v>
      </x:c>
      <x:c r="AI33" s="6" t="n">
        <x:f aca="0">AI18-AI31+AI32</x:f>
        <x:v>263951</x:v>
      </x:c>
      <x:c r="AJ33" s="6" t="n">
        <x:f aca="0">AJ18-AJ31+AJ32</x:f>
        <x:v>171490</x:v>
      </x:c>
      <x:c r="AK33" s="6" t="n">
        <x:f aca="0">AK18-AK31+AK32</x:f>
        <x:v>258036</x:v>
      </x:c>
      <x:c r="AL33" s="4" t="n">
        <x:f aca="0">AL18-AL31+AL32</x:f>
        <x:v>249451</x:v>
      </x:c>
      <x:c r="AM33" s="4" t="n">
        <x:f aca="0">SUM(AH33:AL33)</x:f>
        <x:v>1064075</x:v>
      </x:c>
      <x:c r="AN33" s="4" t="n">
        <x:f aca="0">AB33+AG33+AM33</x:f>
        <x:v>2217291</x:v>
      </x:c>
    </x:row>
    <x:row r="34" ht="15" hidden="0" customHeight="1">
      <x:c r="A34" s="2" t="s">
        <x:v>76</x:v>
      </x:c>
      <x:c r="C34" s="6" t="n">
        <x:f aca="0">C33</x:f>
        <x:v>18177</x:v>
      </x:c>
      <x:c r="D34" s="6" t="n">
        <x:f aca="0">D33</x:f>
        <x:v>64561</x:v>
      </x:c>
      <x:c r="E34" s="6" t="n">
        <x:f aca="0">E33</x:f>
        <x:v>42581</x:v>
      </x:c>
      <x:c r="F34" s="6" t="n">
        <x:f aca="0">F33</x:f>
        <x:v>46883</x:v>
      </x:c>
      <x:c r="G34" s="6" t="n">
        <x:f aca="0">G33</x:f>
        <x:v>31812</x:v>
      </x:c>
      <x:c r="H34" s="6" t="n">
        <x:f aca="0">H33</x:f>
        <x:v>97306</x:v>
      </x:c>
      <x:c r="I34" s="6" t="n">
        <x:f aca="0">I33</x:f>
        <x:v>32864</x:v>
      </x:c>
      <x:c r="J34" s="6" t="n">
        <x:f aca="0">J33</x:f>
        <x:v>21641</x:v>
      </x:c>
      <x:c r="K34" s="6" t="n">
        <x:f aca="0">K33</x:f>
        <x:v>51059</x:v>
      </x:c>
      <x:c r="L34" s="6" t="n">
        <x:f aca="0">L33</x:f>
        <x:v>52284</x:v>
      </x:c>
      <x:c r="M34" s="6" t="n">
        <x:f aca="0">M33</x:f>
        <x:v>110732</x:v>
      </x:c>
      <x:c r="N34" s="6" t="n">
        <x:f aca="0">N33</x:f>
        <x:v>7664</x:v>
      </x:c>
      <x:c r="O34" s="6" t="n">
        <x:f aca="0">O33</x:f>
        <x:v>31069</x:v>
      </x:c>
      <x:c r="P34" s="6" t="n">
        <x:f aca="0">P33</x:f>
        <x:v>18027</x:v>
      </x:c>
      <x:c r="Q34" s="6" t="n">
        <x:f aca="0">Q33</x:f>
        <x:v>6839</x:v>
      </x:c>
      <x:c r="R34" s="6" t="n">
        <x:f aca="0">R33</x:f>
        <x:v>38545</x:v>
      </x:c>
      <x:c r="S34" s="6" t="n">
        <x:f aca="0">S33</x:f>
        <x:v>29894</x:v>
      </x:c>
      <x:c r="T34" s="6" t="n">
        <x:f aca="0">T33</x:f>
        <x:v>52689</x:v>
      </x:c>
      <x:c r="U34" s="6" t="n">
        <x:f aca="0">U33</x:f>
        <x:v>17395</x:v>
      </x:c>
      <x:c r="V34" s="6" t="n">
        <x:f aca="0">V33</x:f>
        <x:v>9579</x:v>
      </x:c>
      <x:c r="W34" s="6" t="n">
        <x:f aca="0">W33</x:f>
        <x:v>30899</x:v>
      </x:c>
      <x:c r="X34" s="6" t="n">
        <x:f aca="0">X33</x:f>
        <x:v>32564</x:v>
      </x:c>
      <x:c r="Y34" s="6" t="n">
        <x:f aca="0">Y33</x:f>
        <x:v>14107</x:v>
      </x:c>
      <x:c r="Z34" s="6" t="n">
        <x:f aca="0">Z33</x:f>
        <x:v>25892</x:v>
      </x:c>
      <x:c r="AA34" s="6" t="n">
        <x:f aca="0">AA33</x:f>
        <x:v>41856</x:v>
      </x:c>
      <x:c r="AB34" s="6" t="n">
        <x:f aca="0">SUM(C34:AA34)</x:f>
        <x:v>926919</x:v>
      </x:c>
      <x:c r="AC34" s="6" t="n">
        <x:f aca="0">AC33</x:f>
        <x:v>47505</x:v>
      </x:c>
      <x:c r="AD34" s="6" t="n">
        <x:f aca="0">AD33</x:f>
        <x:v>47153</x:v>
      </x:c>
      <x:c r="AE34" s="6" t="n">
        <x:f aca="0">AE33</x:f>
        <x:v>86975</x:v>
      </x:c>
      <x:c r="AF34" s="6" t="n">
        <x:f aca="0">AF33</x:f>
        <x:v>44664</x:v>
      </x:c>
      <x:c r="AG34" s="6" t="n">
        <x:f aca="0">SUM(AC34:AF34)</x:f>
        <x:v>226297</x:v>
      </x:c>
      <x:c r="AH34" s="6" t="n">
        <x:f aca="0">AH33</x:f>
        <x:v>121147</x:v>
      </x:c>
      <x:c r="AI34" s="6" t="n">
        <x:f aca="0">AI33</x:f>
        <x:v>263951</x:v>
      </x:c>
      <x:c r="AJ34" s="6" t="n">
        <x:f aca="0">AJ33</x:f>
        <x:v>171490</x:v>
      </x:c>
      <x:c r="AK34" s="6" t="n">
        <x:f aca="0">AK33</x:f>
        <x:v>258036</x:v>
      </x:c>
      <x:c r="AL34" s="4" t="n">
        <x:f aca="0">AL33</x:f>
        <x:v>249451</x:v>
      </x:c>
      <x:c r="AM34" s="4" t="n">
        <x:f aca="0">SUM(AH34:AL34)</x:f>
        <x:v>1064075</x:v>
      </x:c>
      <x:c r="AN34" s="4" t="n">
        <x:f aca="0">AB34+AG34+AM34</x:f>
        <x:v>2217291</x:v>
      </x:c>
    </x:row>
    <x:row r="35" ht="15" hidden="0" customHeight="1">
      <x:c r="A35" s="2" t="s">
        <x:v>77</x:v>
      </x:c>
      <x:c r="C35" s="6" t="n">
        <x:v>0</x:v>
      </x:c>
      <x:c r="D35" s="6" t="n">
        <x:v>0</x:v>
      </x:c>
      <x:c r="E35" s="6" t="n">
        <x:v>0</x:v>
      </x:c>
      <x:c r="F35" s="6" t="n">
        <x:v>0</x:v>
      </x:c>
      <x:c r="G35" s="6" t="n">
        <x:v>0</x:v>
      </x:c>
      <x:c r="H35" s="6" t="n">
        <x:v>0</x:v>
      </x:c>
      <x:c r="I35" s="6" t="n">
        <x:v>0</x:v>
      </x:c>
      <x:c r="J35" s="6" t="n">
        <x:v>0</x:v>
      </x:c>
      <x:c r="K35" s="6" t="n">
        <x:v>0</x:v>
      </x:c>
      <x:c r="L35" s="6" t="n">
        <x:v>0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n">
        <x:v>0</x:v>
      </x:c>
      <x:c r="S35" s="6" t="n">
        <x:v>0</x:v>
      </x:c>
      <x:c r="T35" s="6" t="n">
        <x:v>0</x:v>
      </x:c>
      <x:c r="U35" s="6" t="n">
        <x:v>0</x:v>
      </x:c>
      <x:c r="V35" s="6" t="n">
        <x:v>0</x:v>
      </x:c>
      <x:c r="W35" s="6" t="n">
        <x:v>0</x:v>
      </x:c>
      <x:c r="X35" s="6" t="n">
        <x:v>0</x:v>
      </x:c>
      <x:c r="Y35" s="6" t="n">
        <x:v>0</x:v>
      </x:c>
      <x:c r="Z35" s="6" t="n">
        <x:v>0</x:v>
      </x:c>
      <x:c r="AA35" s="6" t="n">
        <x:v>0</x:v>
      </x:c>
      <x:c r="AB35" s="6" t="n">
        <x:f>SUM(C35:AA35)</x:f>
        <x:v>0</x:v>
      </x:c>
      <x:c r="AC35" s="6" t="n">
        <x:v>0</x:v>
      </x:c>
      <x:c r="AD35" s="6" t="n">
        <x:v>0</x:v>
      </x:c>
      <x:c r="AE35" s="6" t="n">
        <x:v>0</x:v>
      </x:c>
      <x:c r="AF35" s="6" t="n">
        <x:v>0</x:v>
      </x:c>
      <x:c r="AG35" s="6" t="n">
        <x:f>SUM(AC35:AF35)</x:f>
        <x:v>0</x:v>
      </x:c>
      <x:c r="AH35" s="6" t="n">
        <x:v>0</x:v>
      </x:c>
      <x:c r="AI35" s="6" t="n">
        <x:v>0</x:v>
      </x:c>
      <x:c r="AJ35" s="6" t="n">
        <x:v>0</x:v>
      </x:c>
      <x:c r="AK35" s="6" t="n">
        <x:v>0</x:v>
      </x:c>
      <x:c r="AL35" t="n">
        <x:v>0</x:v>
      </x:c>
      <x:c r="AM35" t="n">
        <x:f>SUM(AH35:AL35)</x:f>
        <x:v>0</x:v>
      </x:c>
      <x:c r="AN35" t="n">
        <x:f>AB35+AG35+AM35</x:f>
        <x:v>0</x:v>
      </x:c>
    </x:row>
    <x:row r="36">
      <x:c r="AB36" t="n">
        <x:f>SUM(C36:AA36)</x:f>
        <x:v>0</x:v>
      </x:c>
      <x:c r="AG36" t="n">
        <x:f>SUM(AC36:AF36)</x:f>
        <x:v>0</x:v>
      </x:c>
      <x:c r="AM36" t="n">
        <x:f>SUM(AH36:AL36)</x:f>
        <x:v>0</x:v>
      </x:c>
      <x:c r="AN36" t="n">
        <x:f>AB36+AG36+AM36</x:f>
        <x:v>0</x:v>
      </x:c>
    </x:row>
    <x:row r="37" ht="15" hidden="0" customHeight="1">
      <x:c r="A37" s="2" t="s">
        <x:v>78</x:v>
      </x:c>
      <x:c r="C37" s="6" t="n">
        <x:v>2</x:v>
      </x:c>
      <x:c r="D37" s="6" t="n">
        <x:v>9</x:v>
      </x:c>
      <x:c r="E37" s="6" t="n">
        <x:v>6</x:v>
      </x:c>
      <x:c r="F37" s="6" t="n">
        <x:v>9</x:v>
      </x:c>
      <x:c r="G37" s="6" t="n">
        <x:v>6</x:v>
      </x:c>
      <x:c r="H37" s="6" t="n">
        <x:v>13</x:v>
      </x:c>
      <x:c r="I37" s="6" t="n">
        <x:v>8</x:v>
      </x:c>
      <x:c r="J37" s="6" t="n">
        <x:v>4</x:v>
      </x:c>
      <x:c r="K37" s="6" t="n">
        <x:v>11</x:v>
      </x:c>
      <x:c r="L37" s="6" t="n">
        <x:v>11</x:v>
      </x:c>
      <x:c r="M37" s="6" t="n">
        <x:v>16</x:v>
      </x:c>
      <x:c r="N37" s="6" t="n">
        <x:v>1</x:v>
      </x:c>
      <x:c r="O37" s="6" t="n">
        <x:v>6</x:v>
      </x:c>
      <x:c r="P37" s="6" t="n">
        <x:v>4</x:v>
      </x:c>
      <x:c r="Q37" s="6" t="n">
        <x:v>2</x:v>
      </x:c>
      <x:c r="R37" s="6" t="n">
        <x:v>9</x:v>
      </x:c>
      <x:c r="S37" s="6" t="n">
        <x:v>6</x:v>
      </x:c>
      <x:c r="T37" s="6" t="n">
        <x:v>10</x:v>
      </x:c>
      <x:c r="U37" s="6" t="n">
        <x:v>4</x:v>
      </x:c>
      <x:c r="V37" s="6" t="n">
        <x:v>2</x:v>
      </x:c>
      <x:c r="W37" s="6" t="n">
        <x:v>6</x:v>
      </x:c>
      <x:c r="X37" s="6" t="n">
        <x:v>7</x:v>
      </x:c>
      <x:c r="Y37" s="6" t="n">
        <x:v>3</x:v>
      </x:c>
      <x:c r="Z37" s="6" t="n">
        <x:v>6</x:v>
      </x:c>
      <x:c r="AA37" s="6" t="n">
        <x:v>7</x:v>
      </x:c>
      <x:c r="AB37" s="6" t="n">
        <x:f aca="0">SUM(C37:AA37)</x:f>
        <x:v>168</x:v>
      </x:c>
      <x:c r="AC37" s="6" t="n">
        <x:v>5</x:v>
      </x:c>
      <x:c r="AD37" s="6" t="n">
        <x:v>7</x:v>
      </x:c>
      <x:c r="AE37" s="6" t="n">
        <x:v>10</x:v>
      </x:c>
      <x:c r="AF37" s="6" t="n">
        <x:v>5</x:v>
      </x:c>
      <x:c r="AG37" s="6" t="n">
        <x:f aca="0">SUM(AC37:AF37)</x:f>
        <x:v>27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s="4" t="n">
        <x:f aca="0">SUM(AH37:AL37)</x:f>
        <x:v>0</x:v>
      </x:c>
      <x:c r="AN37" s="4" t="n">
        <x:f aca="0">AB37+AG37+AM37</x:f>
        <x:v>195</x:v>
      </x:c>
    </x:row>
    <x:row r="38" ht="15" hidden="0" customHeight="1">
      <x:c r="A38" s="2" t="s">
        <x:v>79</x:v>
      </x:c>
      <x:c r="C38" s="6" t="n">
        <x:v>0</x:v>
      </x:c>
      <x:c r="D38" s="6" t="n">
        <x:v>0</x:v>
      </x:c>
      <x:c r="E38" s="6" t="n">
        <x:v>0</x:v>
      </x:c>
      <x:c r="F38" s="6" t="n">
        <x:v>0</x:v>
      </x:c>
      <x:c r="G38" s="6" t="n">
        <x:v>0</x:v>
      </x:c>
      <x:c r="H38" s="6" t="n">
        <x:v>0</x:v>
      </x:c>
      <x:c r="I38" s="6" t="n">
        <x:v>0</x:v>
      </x:c>
      <x:c r="J38" s="6" t="n">
        <x:v>0</x:v>
      </x:c>
      <x:c r="K38" s="6" t="n">
        <x:v>0</x:v>
      </x:c>
      <x:c r="L38" s="6" t="n">
        <x:v>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n">
        <x:v>0</x:v>
      </x:c>
      <x:c r="S38" s="6" t="n">
        <x:v>0</x:v>
      </x:c>
      <x:c r="T38" s="6" t="n">
        <x:v>0</x:v>
      </x:c>
      <x:c r="U38" s="6" t="n">
        <x:v>0</x:v>
      </x:c>
      <x:c r="V38" s="6" t="n">
        <x:v>0</x:v>
      </x:c>
      <x:c r="W38" s="6" t="n">
        <x:v>0</x:v>
      </x:c>
      <x:c r="X38" s="6" t="n">
        <x:v>0</x:v>
      </x:c>
      <x:c r="Y38" s="6" t="n">
        <x:v>0</x:v>
      </x:c>
      <x:c r="Z38" s="6" t="n">
        <x:v>0</x:v>
      </x:c>
      <x:c r="AA38" s="6" t="n">
        <x:v>0</x:v>
      </x:c>
      <x:c r="AB38" s="6" t="n">
        <x:f aca="0">SUM(C38:AA38)</x:f>
        <x:v>0</x:v>
      </x:c>
      <x:c r="AC38" s="6" t="n">
        <x:v>0</x:v>
      </x:c>
      <x:c r="AD38" s="6" t="n">
        <x:v>0</x:v>
      </x:c>
      <x:c r="AE38" s="6" t="n">
        <x:v>0</x:v>
      </x:c>
      <x:c r="AF38" s="6" t="n">
        <x:v>0</x:v>
      </x:c>
      <x:c r="AG38" s="6" t="n">
        <x:f aca="0">SUM(AC38:AF38)</x:f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s="4" t="n">
        <x:f aca="0">SUM(AH38:AL38)</x:f>
        <x:v>0</x:v>
      </x:c>
      <x:c r="AN38" s="4" t="n">
        <x:f aca="0">AB38+AG38+AM38</x:f>
        <x:v>0</x:v>
      </x:c>
    </x:row>
    <x:row r="39" ht="15" hidden="0" customHeight="1">
      <x:c r="A39" s="2" t="s">
        <x:v>80</x:v>
      </x:c>
      <x:c r="C39" s="6" t="n">
        <x:v>0</x:v>
      </x:c>
      <x:c r="D39" s="6" t="n">
        <x:v>0</x:v>
      </x:c>
      <x:c r="E39" s="6" t="n">
        <x:v>0</x:v>
      </x:c>
      <x:c r="F39" s="6" t="n">
        <x:v>0</x:v>
      </x:c>
      <x:c r="G39" s="6" t="n">
        <x:v>0</x:v>
      </x:c>
      <x:c r="H39" s="6" t="n">
        <x:v>0</x:v>
      </x:c>
      <x:c r="I39" s="6" t="n">
        <x:v>0</x:v>
      </x:c>
      <x:c r="J39" s="6" t="n">
        <x:v>0</x:v>
      </x:c>
      <x:c r="K39" s="6" t="n">
        <x:v>0</x:v>
      </x:c>
      <x:c r="L39" s="6" t="n">
        <x:v>0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n">
        <x:v>0</x:v>
      </x:c>
      <x:c r="S39" s="6" t="n">
        <x:v>0</x:v>
      </x:c>
      <x:c r="T39" s="6" t="n">
        <x:v>0</x:v>
      </x:c>
      <x:c r="U39" s="6" t="n">
        <x:v>0</x:v>
      </x:c>
      <x:c r="V39" s="6" t="n">
        <x:v>0</x:v>
      </x:c>
      <x:c r="W39" s="6" t="n">
        <x:v>0</x:v>
      </x:c>
      <x:c r="X39" s="6" t="n">
        <x:v>0</x:v>
      </x:c>
      <x:c r="Y39" s="6" t="n">
        <x:v>0</x:v>
      </x:c>
      <x:c r="Z39" s="6" t="n">
        <x:v>0</x:v>
      </x:c>
      <x:c r="AA39" s="6" t="n">
        <x:v>0</x:v>
      </x:c>
      <x:c r="AB39" s="6" t="n">
        <x:f aca="0">SUM(C39:AA39)</x:f>
        <x:v>0</x:v>
      </x:c>
      <x:c r="AC39" s="6" t="n">
        <x:v>0</x:v>
      </x:c>
      <x:c r="AD39" s="6" t="n">
        <x:v>0</x:v>
      </x:c>
      <x:c r="AE39" s="6" t="n">
        <x:v>0</x:v>
      </x:c>
      <x:c r="AF39" s="6" t="n">
        <x:v>0</x:v>
      </x:c>
      <x:c r="AG39" s="6" t="n">
        <x:f aca="0">SUM(AC39:AF39)</x:f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s="4" t="n">
        <x:f aca="0">SUM(AH39:AL39)</x:f>
        <x:v>0</x:v>
      </x:c>
      <x:c r="AN39" s="4" t="n">
        <x:f aca="0">AB39+AG39+AM39</x:f>
        <x:v>0</x:v>
      </x:c>
    </x:row>
    <x:row r="40" ht="15" hidden="0" customHeight="1">
      <x:c r="A40" s="2" t="s">
        <x:v>81</x:v>
      </x:c>
      <x:c r="C40" s="6" t="n">
        <x:v>0</x:v>
      </x:c>
      <x:c r="D40" s="6" t="n">
        <x:v>0</x:v>
      </x:c>
      <x:c r="E40" s="6" t="n">
        <x:v>0</x:v>
      </x:c>
      <x:c r="F40" s="6" t="n">
        <x:v>0</x:v>
      </x:c>
      <x:c r="G40" s="6" t="n">
        <x:v>0</x:v>
      </x:c>
      <x:c r="H40" s="6" t="n">
        <x:v>0</x:v>
      </x:c>
      <x:c r="I40" s="6" t="n">
        <x:v>0</x:v>
      </x:c>
      <x:c r="J40" s="6" t="n">
        <x:v>0</x:v>
      </x:c>
      <x:c r="K40" s="6" t="n">
        <x:v>0</x:v>
      </x:c>
      <x:c r="L40" s="6" t="n">
        <x:v>0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n">
        <x:v>0</x:v>
      </x:c>
      <x:c r="S40" s="6" t="n">
        <x:v>0</x:v>
      </x:c>
      <x:c r="T40" s="6" t="n">
        <x:v>0</x:v>
      </x:c>
      <x:c r="U40" s="6" t="n">
        <x:v>0</x:v>
      </x:c>
      <x:c r="V40" s="6" t="n">
        <x:v>0</x:v>
      </x:c>
      <x:c r="W40" s="6" t="n">
        <x:v>0</x:v>
      </x:c>
      <x:c r="X40" s="6" t="n">
        <x:v>0</x:v>
      </x:c>
      <x:c r="Y40" s="6" t="n">
        <x:v>0</x:v>
      </x:c>
      <x:c r="Z40" s="6" t="n">
        <x:v>0</x:v>
      </x:c>
      <x:c r="AA40" s="6" t="n">
        <x:v>0</x:v>
      </x:c>
      <x:c r="AB40" s="6" t="n">
        <x:f aca="0">SUM(C40:AA40)</x:f>
        <x:v>0</x:v>
      </x:c>
      <x:c r="AC40" s="6" t="n">
        <x:v>0</x:v>
      </x:c>
      <x:c r="AD40" s="6" t="n">
        <x:v>0</x:v>
      </x:c>
      <x:c r="AE40" s="6" t="n">
        <x:v>0</x:v>
      </x:c>
      <x:c r="AF40" s="6" t="n">
        <x:v>0</x:v>
      </x:c>
      <x:c r="AG40" s="6" t="n">
        <x:f aca="0">SUM(AC40:AF40)</x:f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s="4" t="n">
        <x:f aca="0">SUM(AH40:AL40)</x:f>
        <x:v>0</x:v>
      </x:c>
      <x:c r="AN40" s="4" t="n">
        <x:f aca="0">AB40+AG40+AM40</x:f>
        <x:v>0</x:v>
      </x:c>
    </x:row>
    <x:row r="41" ht="15" hidden="0" customHeight="1">
      <x:c r="A41" s="2" t="s">
        <x:v>82</x:v>
      </x:c>
      <x:c r="C41" s="6" t="n">
        <x:v>0</x:v>
      </x:c>
      <x:c r="D41" s="6" t="n">
        <x:v>0</x:v>
      </x:c>
      <x:c r="E41" s="6" t="n">
        <x:v>0</x:v>
      </x:c>
      <x:c r="F41" s="6" t="n">
        <x:v>0</x:v>
      </x:c>
      <x:c r="G41" s="6" t="n">
        <x:v>0</x:v>
      </x:c>
      <x:c r="H41" s="6" t="n">
        <x:v>0</x:v>
      </x:c>
      <x:c r="I41" s="6" t="n">
        <x:v>0</x:v>
      </x:c>
      <x:c r="J41" s="6" t="n">
        <x:v>0</x:v>
      </x:c>
      <x:c r="K41" s="6" t="n">
        <x:v>0</x:v>
      </x:c>
      <x:c r="L41" s="6" t="n">
        <x:v>0</x:v>
      </x:c>
      <x:c r="M41" s="6" t="n">
        <x:v>0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n">
        <x:v>0</x:v>
      </x:c>
      <x:c r="S41" s="6" t="n">
        <x:v>0</x:v>
      </x:c>
      <x:c r="T41" s="6" t="n">
        <x:v>0</x:v>
      </x:c>
      <x:c r="U41" s="6" t="n">
        <x:v>0</x:v>
      </x:c>
      <x:c r="V41" s="6" t="n">
        <x:v>0</x:v>
      </x:c>
      <x:c r="W41" s="6" t="n">
        <x:v>0</x:v>
      </x:c>
      <x:c r="X41" s="6" t="n">
        <x:v>0</x:v>
      </x:c>
      <x:c r="Y41" s="6" t="n">
        <x:v>0</x:v>
      </x:c>
      <x:c r="Z41" s="6" t="n">
        <x:v>0</x:v>
      </x:c>
      <x:c r="AA41" s="6" t="n">
        <x:v>0</x:v>
      </x:c>
      <x:c r="AB41" s="6" t="n">
        <x:f aca="0">SUM(C41:AA41)</x:f>
        <x:v>0</x:v>
      </x:c>
      <x:c r="AC41" s="6" t="n">
        <x:v>0</x:v>
      </x:c>
      <x:c r="AD41" s="6" t="n">
        <x:v>0</x:v>
      </x:c>
      <x:c r="AE41" s="6" t="n">
        <x:v>0</x:v>
      </x:c>
      <x:c r="AF41" s="6" t="n">
        <x:v>0</x:v>
      </x:c>
      <x:c r="AG41" s="6" t="n">
        <x:f aca="0">SUM(AC41:AF41)</x:f>
        <x:v>0</x:v>
      </x:c>
      <x:c r="AH41" t="n">
        <x:v>0</x:v>
      </x:c>
      <x:c r="AI41" t="n">
        <x:v>1</x:v>
      </x:c>
      <x:c r="AJ41" t="n">
        <x:v>0</x:v>
      </x:c>
      <x:c r="AK41" t="n">
        <x:v>2</x:v>
      </x:c>
      <x:c r="AL41" t="n">
        <x:v>0</x:v>
      </x:c>
      <x:c r="AM41" s="4" t="n">
        <x:f aca="0">SUM(AH41:AL41)</x:f>
        <x:v>3</x:v>
      </x:c>
      <x:c r="AN41" s="4" t="n">
        <x:f aca="0">AB41+AG41+AM41</x:f>
        <x:v>3</x:v>
      </x:c>
    </x:row>
    <x:row r="42" ht="15" hidden="0" customHeight="1">
      <x:c r="A42" s="2" t="s">
        <x:v>83</x:v>
      </x:c>
      <x:c r="C42" s="6" t="n">
        <x:v>13</x:v>
      </x:c>
      <x:c r="D42" s="6" t="n">
        <x:v>48.5</x:v>
      </x:c>
      <x:c r="E42" s="6" t="n">
        <x:v>32.5</x:v>
      </x:c>
      <x:c r="F42" s="6" t="n">
        <x:v>34.75</x:v>
      </x:c>
      <x:c r="G42" s="6" t="n">
        <x:v>23</x:v>
      </x:c>
      <x:c r="H42" s="6" t="n">
        <x:v>74</x:v>
      </x:c>
      <x:c r="I42" s="6" t="n">
        <x:v>24.75</x:v>
      </x:c>
      <x:c r="J42" s="6" t="n">
        <x:v>17.33</x:v>
      </x:c>
      <x:c r="K42" s="6" t="n">
        <x:v>39.17</x:v>
      </x:c>
      <x:c r="L42" s="6" t="n">
        <x:v>40.17</x:v>
      </x:c>
      <x:c r="M42" s="6" t="n">
        <x:v>83.8</x:v>
      </x:c>
      <x:c r="N42" s="6" t="n">
        <x:v>6</x:v>
      </x:c>
      <x:c r="O42" s="6" t="n">
        <x:v>21.62</x:v>
      </x:c>
      <x:c r="P42" s="6" t="n">
        <x:v>14.72</x:v>
      </x:c>
      <x:c r="Q42" s="6" t="n">
        <x:v>5.58</x:v>
      </x:c>
      <x:c r="R42" s="6" t="n">
        <x:v>30.55</x:v>
      </x:c>
      <x:c r="S42" s="6" t="n">
        <x:v>23.53</x:v>
      </x:c>
      <x:c r="T42" s="6" t="n">
        <x:v>42.87</x:v>
      </x:c>
      <x:c r="U42" s="6" t="n">
        <x:v>14.2</x:v>
      </x:c>
      <x:c r="V42" s="6" t="n">
        <x:v>7.72</x:v>
      </x:c>
      <x:c r="W42" s="6" t="n">
        <x:v>25.15</x:v>
      </x:c>
      <x:c r="X42" s="6" t="n">
        <x:v>26.42</x:v>
      </x:c>
      <x:c r="Y42" s="6" t="n">
        <x:v>11.47</x:v>
      </x:c>
      <x:c r="Z42" s="6" t="n">
        <x:v>21.07</x:v>
      </x:c>
      <x:c r="AA42" s="6" t="n">
        <x:v>28.58</x:v>
      </x:c>
      <x:c r="AB42" s="6" t="n">
        <x:f aca="0">SUM(C42:AA42)</x:f>
        <x:v>710.4500000000002</x:v>
      </x:c>
      <x:c r="AC42" s="6" t="n">
        <x:v>33.05</x:v>
      </x:c>
      <x:c r="AD42" s="6" t="n">
        <x:v>32.03</x:v>
      </x:c>
      <x:c r="AE42" s="6" t="n">
        <x:v>59.15</x:v>
      </x:c>
      <x:c r="AF42" s="6" t="n">
        <x:v>30.93</x:v>
      </x:c>
      <x:c r="AG42" s="6" t="n">
        <x:f aca="0">SUM(AC42:AF42)</x:f>
        <x:v>155.16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s="4" t="n">
        <x:f aca="0">SUM(AH42:AL42)</x:f>
        <x:v>0</x:v>
      </x:c>
      <x:c r="AN42" s="4" t="n">
        <x:f aca="0">AB42+AG42+AM42</x:f>
        <x:v>865.6100000000001</x:v>
      </x:c>
    </x:row>
    <x:row r="43" ht="15" hidden="0" customHeight="1">
      <x:c r="A43" s="2" t="s">
        <x:v>84</x:v>
      </x:c>
      <x:c r="C43" s="6" t="n">
        <x:v>0</x:v>
      </x:c>
      <x:c r="D43" s="6" t="n">
        <x:v>0</x:v>
      </x:c>
      <x:c r="E43" s="6" t="n">
        <x:v>0</x:v>
      </x:c>
      <x:c r="F43" s="6" t="n">
        <x:v>0</x:v>
      </x:c>
      <x:c r="G43" s="6" t="n">
        <x:v>0</x:v>
      </x:c>
      <x:c r="H43" s="6" t="n">
        <x:v>0</x:v>
      </x:c>
      <x:c r="I43" s="6" t="n">
        <x:v>0</x:v>
      </x:c>
      <x:c r="J43" s="6" t="n">
        <x:v>0</x:v>
      </x:c>
      <x:c r="K43" s="6" t="n">
        <x:v>0</x:v>
      </x:c>
      <x:c r="L43" s="6" t="n">
        <x:v>0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n">
        <x:v>0</x:v>
      </x:c>
      <x:c r="S43" s="6" t="n">
        <x:v>0</x:v>
      </x:c>
      <x:c r="T43" s="6" t="n">
        <x:v>0</x:v>
      </x:c>
      <x:c r="U43" s="6" t="n">
        <x:v>0</x:v>
      </x:c>
      <x:c r="V43" s="6" t="n">
        <x:v>0</x:v>
      </x:c>
      <x:c r="W43" s="6" t="n">
        <x:v>0</x:v>
      </x:c>
      <x:c r="X43" s="6" t="n">
        <x:v>0</x:v>
      </x:c>
      <x:c r="Y43" s="6" t="n">
        <x:v>0</x:v>
      </x:c>
      <x:c r="Z43" s="6" t="n">
        <x:v>0</x:v>
      </x:c>
      <x:c r="AA43" s="6" t="n">
        <x:v>0</x:v>
      </x:c>
      <x:c r="AB43" s="6" t="n">
        <x:f aca="0">SUM(C43:AA43)</x:f>
        <x:v>0</x:v>
      </x:c>
      <x:c r="AC43" s="6" t="n">
        <x:v>0</x:v>
      </x:c>
      <x:c r="AD43" s="6" t="n">
        <x:v>0</x:v>
      </x:c>
      <x:c r="AE43" s="6" t="n">
        <x:v>0</x:v>
      </x:c>
      <x:c r="AF43" s="6" t="n">
        <x:v>0</x:v>
      </x:c>
      <x:c r="AG43" s="6" t="n">
        <x:f aca="0">SUM(AC43:AF43)</x:f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s="4" t="n">
        <x:f aca="0">SUM(AH43:AL43)</x:f>
        <x:v>0</x:v>
      </x:c>
      <x:c r="AN43" s="4" t="n">
        <x:f aca="0">AB43+AG43+AM43</x:f>
        <x:v>0</x:v>
      </x:c>
    </x:row>
    <x:row r="44" ht="15" hidden="0" customHeight="1">
      <x:c r="A44" s="2" t="s">
        <x:v>85</x:v>
      </x:c>
      <x:c r="C44" s="6" t="n">
        <x:v>0</x:v>
      </x:c>
      <x:c r="D44" s="6" t="n">
        <x:v>0</x:v>
      </x:c>
      <x:c r="E44" s="6" t="n">
        <x:v>0</x:v>
      </x:c>
      <x:c r="F44" s="6" t="n">
        <x:v>0</x:v>
      </x:c>
      <x:c r="G44" s="6" t="n">
        <x:v>0</x:v>
      </x:c>
      <x:c r="H44" s="6" t="n">
        <x:v>0</x:v>
      </x:c>
      <x:c r="I44" s="6" t="n">
        <x:v>0</x:v>
      </x:c>
      <x:c r="J44" s="6" t="n">
        <x:v>0</x:v>
      </x:c>
      <x:c r="K44" s="6" t="n">
        <x:v>0</x:v>
      </x:c>
      <x:c r="L44" s="6" t="n">
        <x:v>0</x:v>
      </x:c>
      <x:c r="M44" s="6" t="n">
        <x:v>4.7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n">
        <x:v>0</x:v>
      </x:c>
      <x:c r="S44" s="6" t="n">
        <x:v>0</x:v>
      </x:c>
      <x:c r="T44" s="6" t="n">
        <x:v>0</x:v>
      </x:c>
      <x:c r="U44" s="6" t="n">
        <x:v>0</x:v>
      </x:c>
      <x:c r="V44" s="6" t="n">
        <x:v>0</x:v>
      </x:c>
      <x:c r="W44" s="6" t="n">
        <x:v>0</x:v>
      </x:c>
      <x:c r="X44" s="6" t="n">
        <x:v>0</x:v>
      </x:c>
      <x:c r="Y44" s="6" t="n">
        <x:v>0</x:v>
      </x:c>
      <x:c r="Z44" s="6" t="n">
        <x:v>0</x:v>
      </x:c>
      <x:c r="AA44" s="6" t="n">
        <x:v>0</x:v>
      </x:c>
      <x:c r="AB44" s="6" t="n">
        <x:f aca="0">SUM(C44:AA44)</x:f>
        <x:v>4.7</x:v>
      </x:c>
      <x:c r="AC44" s="6" t="n">
        <x:v>0</x:v>
      </x:c>
      <x:c r="AD44" s="6" t="n">
        <x:v>0</x:v>
      </x:c>
      <x:c r="AE44" s="6" t="n">
        <x:v>0</x:v>
      </x:c>
      <x:c r="AF44" s="6" t="n">
        <x:v>0</x:v>
      </x:c>
      <x:c r="AG44" s="6" t="n">
        <x:f aca="0">SUM(AC44:AF44)</x:f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s="4" t="n">
        <x:f aca="0">SUM(AH44:AL44)</x:f>
        <x:v>0</x:v>
      </x:c>
      <x:c r="AN44" s="4" t="n">
        <x:f aca="0">AB44+AG44+AM44</x:f>
        <x:v>4.7</x:v>
      </x:c>
    </x:row>
    <x:row r="45" ht="15" hidden="0" customHeight="1">
      <x:c r="A45" s="2" t="s">
        <x:v>86</x:v>
      </x:c>
      <x:c r="C45" s="6" t="n">
        <x:v>2</x:v>
      </x:c>
      <x:c r="D45" s="6" t="n">
        <x:v>7</x:v>
      </x:c>
      <x:c r="E45" s="6" t="n">
        <x:v>2.5</x:v>
      </x:c>
      <x:c r="F45" s="6" t="n">
        <x:v>1.75</x:v>
      </x:c>
      <x:c r="G45" s="6" t="n">
        <x:v>6</x:v>
      </x:c>
      <x:c r="H45" s="6" t="n">
        <x:v>9</x:v>
      </x:c>
      <x:c r="I45" s="6" t="n">
        <x:v>1</x:v>
      </x:c>
      <x:c r="J45" s="6" t="n">
        <x:v>1.33</x:v>
      </x:c>
      <x:c r="K45" s="6" t="n">
        <x:v>0</x:v>
      </x:c>
      <x:c r="L45" s="6" t="n">
        <x:v>0</x:v>
      </x:c>
      <x:c r="M45" s="6" t="n">
        <x:v>4.78</x:v>
      </x:c>
      <x:c r="N45" s="6" t="n">
        <x:v>0</x:v>
      </x:c>
      <x:c r="O45" s="6" t="n">
        <x:v>0.02</x:v>
      </x:c>
      <x:c r="P45" s="6" t="n">
        <x:v>0</x:v>
      </x:c>
      <x:c r="Q45" s="6" t="n">
        <x:v>0</x:v>
      </x:c>
      <x:c r="R45" s="6" t="n">
        <x:v>3.67</x:v>
      </x:c>
      <x:c r="S45" s="6" t="n">
        <x:v>3.48</x:v>
      </x:c>
      <x:c r="T45" s="6" t="n">
        <x:v>0.58</x:v>
      </x:c>
      <x:c r="U45" s="6" t="n">
        <x:v>0</x:v>
      </x:c>
      <x:c r="V45" s="6" t="n">
        <x:v>0.42</x:v>
      </x:c>
      <x:c r="W45" s="6" t="n">
        <x:v>0.3</x:v>
      </x:c>
      <x:c r="X45" s="6" t="n">
        <x:v>0.67</x:v>
      </x:c>
      <x:c r="Y45" s="6" t="n">
        <x:v>0.2</x:v>
      </x:c>
      <x:c r="Z45" s="6" t="n">
        <x:v>0.28</x:v>
      </x:c>
      <x:c r="AA45" s="6" t="n">
        <x:v>0.58</x:v>
      </x:c>
      <x:c r="AB45" s="6" t="n">
        <x:f aca="0">SUM(C45:AA45)</x:f>
        <x:v>45.56</x:v>
      </x:c>
      <x:c r="AC45" s="6" t="n">
        <x:v>2.22</x:v>
      </x:c>
      <x:c r="AD45" s="6" t="n">
        <x:v>2.27</x:v>
      </x:c>
      <x:c r="AE45" s="6" t="n">
        <x:v>3.02</x:v>
      </x:c>
      <x:c r="AF45" s="6" t="n">
        <x:v>1.05</x:v>
      </x:c>
      <x:c r="AG45" s="6" t="n">
        <x:f aca="0">SUM(AC45:AF45)</x:f>
        <x:v>8.56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s="4" t="n">
        <x:f aca="0">SUM(AH45:AL45)</x:f>
        <x:v>0</x:v>
      </x:c>
      <x:c r="AN45" s="4" t="n">
        <x:f aca="0">AB45+AG45+AM45</x:f>
        <x:v>54.120000000000005</x:v>
      </x:c>
    </x:row>
    <x:row r="46" ht="15" hidden="0" customHeight="1">
      <x:c r="A46" s="2" t="s">
        <x:v>87</x:v>
      </x:c>
      <x:c r="C46" s="6" t="n">
        <x:v>0</x:v>
      </x:c>
      <x:c r="D46" s="6" t="n">
        <x:v>0</x:v>
      </x:c>
      <x:c r="E46" s="6" t="n">
        <x:v>0</x:v>
      </x:c>
      <x:c r="F46" s="6" t="n">
        <x:v>0</x:v>
      </x:c>
      <x:c r="G46" s="6" t="n">
        <x:v>0</x:v>
      </x:c>
      <x:c r="H46" s="6" t="n">
        <x:v>0</x:v>
      </x:c>
      <x:c r="I46" s="6" t="n">
        <x:v>0</x:v>
      </x:c>
      <x:c r="J46" s="6" t="n">
        <x:v>0</x:v>
      </x:c>
      <x:c r="K46" s="6" t="n">
        <x:v>0</x:v>
      </x:c>
      <x:c r="L46" s="6" t="n">
        <x:v>0</x:v>
      </x:c>
      <x:c r="M46" s="6" t="n">
        <x:v>0</x:v>
      </x:c>
      <x:c r="N46" s="6" t="n">
        <x:v>6</x:v>
      </x:c>
      <x:c r="O46" s="6" t="n">
        <x:v>0</x:v>
      </x:c>
      <x:c r="P46" s="6" t="n">
        <x:v>0</x:v>
      </x:c>
      <x:c r="Q46" s="6" t="n">
        <x:v>0</x:v>
      </x:c>
      <x:c r="R46" s="6" t="n">
        <x:v>0</x:v>
      </x:c>
      <x:c r="S46" s="6" t="n">
        <x:v>0</x:v>
      </x:c>
      <x:c r="T46" s="6" t="n">
        <x:v>0</x:v>
      </x:c>
      <x:c r="U46" s="6" t="n">
        <x:v>0</x:v>
      </x:c>
      <x:c r="V46" s="6" t="n">
        <x:v>0</x:v>
      </x:c>
      <x:c r="W46" s="6" t="n">
        <x:v>0</x:v>
      </x:c>
      <x:c r="X46" s="6" t="n">
        <x:v>0</x:v>
      </x:c>
      <x:c r="Y46" s="6" t="n">
        <x:v>0</x:v>
      </x:c>
      <x:c r="Z46" s="6" t="n">
        <x:v>0</x:v>
      </x:c>
      <x:c r="AA46" s="6" t="n">
        <x:v>28.58</x:v>
      </x:c>
      <x:c r="AB46" s="6" t="n">
        <x:f aca="0">SUM(C46:AA46)</x:f>
        <x:v>34.58</x:v>
      </x:c>
      <x:c r="AC46" s="6" t="n">
        <x:v>0</x:v>
      </x:c>
      <x:c r="AD46" s="6" t="n">
        <x:v>0</x:v>
      </x:c>
      <x:c r="AE46" s="6" t="n">
        <x:v>0</x:v>
      </x:c>
      <x:c r="AF46" s="6" t="n">
        <x:v>0</x:v>
      </x:c>
      <x:c r="AG46" s="6" t="n">
        <x:f aca="0">SUM(AC46:AF46)</x:f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s="4" t="n">
        <x:f aca="0">SUM(AH46:AL46)</x:f>
        <x:v>0</x:v>
      </x:c>
      <x:c r="AN46" s="4" t="n">
        <x:f aca="0">AB46+AG46+AM46</x:f>
        <x:v>34.58</x:v>
      </x:c>
    </x:row>
  </x:sheetData>
  <x:pageMargins left="0.7" right="0.7" top="0.75" bottom="0.75" header="0.3" footer="0.3"/>
</x:worksheet>
</file>